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49bec91a8651c45/Documents/Virginia Tech/4 - Senior - 1st Semester/Fin Modeling In Excel/4. Options Pricing/"/>
    </mc:Choice>
  </mc:AlternateContent>
  <xr:revisionPtr revIDLastSave="17" documentId="13_ncr:1_{CAC25E99-E9D7-46C2-A606-C33F06D89F04}" xr6:coauthVersionLast="47" xr6:coauthVersionMax="47" xr10:uidLastSave="{DD8E2C40-90AB-45DA-AFEC-05B083E7F671}"/>
  <bookViews>
    <workbookView xWindow="-110" yWindow="-110" windowWidth="22780" windowHeight="14660" xr2:uid="{49806AEE-FD97-47D5-AA4E-0DB8121F1408}"/>
  </bookViews>
  <sheets>
    <sheet name="Binomial" sheetId="3" r:id="rId1"/>
    <sheet name="Binomial 2" sheetId="2" r:id="rId2"/>
    <sheet name="Binomial 3" sheetId="4" r:id="rId3"/>
    <sheet name="Binomial American - No Income" sheetId="5" r:id="rId4"/>
    <sheet name="Binomial American - Income" sheetId="6" r:id="rId5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6" l="1"/>
  <c r="Z17" i="6"/>
  <c r="Z8" i="6"/>
  <c r="H5" i="6"/>
  <c r="B28" i="6" l="1"/>
  <c r="AA26" i="6"/>
  <c r="N10" i="6"/>
  <c r="AB26" i="6"/>
  <c r="Y17" i="6"/>
  <c r="K12" i="6"/>
  <c r="N9" i="6"/>
  <c r="B17" i="6" l="1"/>
  <c r="AA18" i="6" s="1"/>
  <c r="Y8" i="6"/>
  <c r="Z18" i="6"/>
  <c r="Z9" i="6"/>
  <c r="Y9" i="6"/>
  <c r="D16" i="6"/>
  <c r="AB17" i="6"/>
  <c r="Y5" i="6"/>
  <c r="X5" i="6"/>
  <c r="Q4" i="4"/>
  <c r="Z6" i="4"/>
  <c r="Y6" i="4"/>
  <c r="H15" i="4"/>
  <c r="E19" i="4"/>
  <c r="B16" i="4"/>
  <c r="B12" i="4"/>
  <c r="B14" i="4"/>
  <c r="E23" i="6"/>
  <c r="H19" i="6"/>
  <c r="K15" i="6"/>
  <c r="N11" i="6"/>
  <c r="H2" i="6"/>
  <c r="H4" i="6" s="1"/>
  <c r="E2" i="6"/>
  <c r="B10" i="6"/>
  <c r="B30" i="6"/>
  <c r="AA23" i="6"/>
  <c r="AB13" i="6"/>
  <c r="C30" i="6"/>
  <c r="L21" i="6"/>
  <c r="I4" i="6"/>
  <c r="I19" i="6"/>
  <c r="I2" i="6"/>
  <c r="I5" i="6"/>
  <c r="O2" i="6"/>
  <c r="C27" i="6"/>
  <c r="L13" i="6"/>
  <c r="O5" i="6"/>
  <c r="Z11" i="6"/>
  <c r="C10" i="6"/>
  <c r="L31" i="6"/>
  <c r="L23" i="6"/>
  <c r="L5" i="6"/>
  <c r="X2" i="6"/>
  <c r="L28" i="6"/>
  <c r="L2" i="6"/>
  <c r="L22" i="6"/>
  <c r="Y2" i="6"/>
  <c r="Y19" i="6"/>
  <c r="L20" i="6"/>
  <c r="I18" i="6"/>
  <c r="AB2" i="6"/>
  <c r="L29" i="6"/>
  <c r="I26" i="6"/>
  <c r="O4" i="6"/>
  <c r="Y13" i="6"/>
  <c r="F22" i="6"/>
  <c r="L14" i="6"/>
  <c r="AA2" i="6"/>
  <c r="C28" i="6"/>
  <c r="X13" i="6"/>
  <c r="I25" i="6"/>
  <c r="F2" i="6"/>
  <c r="F21" i="6"/>
  <c r="F23" i="6"/>
  <c r="L12" i="6"/>
  <c r="Z20" i="6"/>
  <c r="I27" i="6"/>
  <c r="I17" i="6"/>
  <c r="L15" i="6"/>
  <c r="L4" i="6"/>
  <c r="Y10" i="6"/>
  <c r="L30" i="6"/>
  <c r="X41" i="3" l="1"/>
  <c r="AA43" i="3" s="1"/>
  <c r="AD45" i="3" s="1"/>
  <c r="V39" i="3"/>
  <c r="Y36" i="3" s="1"/>
  <c r="V32" i="3"/>
  <c r="Y35" i="3" s="1"/>
  <c r="AA38" i="3" s="1"/>
  <c r="AD40" i="3" s="1"/>
  <c r="R36" i="3"/>
  <c r="T27" i="3"/>
  <c r="T28" i="3" s="1"/>
  <c r="AE36" i="3"/>
  <c r="AB27" i="3"/>
  <c r="AE25" i="3"/>
  <c r="Z36" i="3"/>
  <c r="AB33" i="3"/>
  <c r="AE40" i="3"/>
  <c r="AB38" i="3"/>
  <c r="U28" i="3"/>
  <c r="W32" i="3"/>
  <c r="W39" i="3"/>
  <c r="Z35" i="3"/>
  <c r="S36" i="3"/>
  <c r="Y30" i="3"/>
  <c r="AE45" i="3"/>
  <c r="U27" i="3"/>
  <c r="AE30" i="3"/>
  <c r="Y41" i="3"/>
  <c r="AB43" i="3"/>
  <c r="X30" i="3" l="1"/>
  <c r="AA33" i="3" s="1"/>
  <c r="AD36" i="3" s="1"/>
  <c r="AA27" i="3"/>
  <c r="AD30" i="3" l="1"/>
  <c r="AD25" i="3"/>
  <c r="Q36" i="4" l="1"/>
  <c r="Q36" i="5"/>
  <c r="Q28" i="5"/>
  <c r="Q20" i="5"/>
  <c r="Q12" i="5"/>
  <c r="Q4" i="5"/>
  <c r="X17" i="6"/>
  <c r="Z5" i="6"/>
  <c r="AA5" i="6" s="1"/>
  <c r="AB5" i="6" s="1"/>
  <c r="B27" i="6"/>
  <c r="K2" i="6"/>
  <c r="B13" i="6"/>
  <c r="AC10" i="6"/>
  <c r="K45" i="6"/>
  <c r="R29" i="6"/>
  <c r="O27" i="6"/>
  <c r="O12" i="6"/>
  <c r="AA22" i="6"/>
  <c r="R21" i="6"/>
  <c r="K43" i="6"/>
  <c r="O18" i="6"/>
  <c r="AC29" i="6"/>
  <c r="Z13" i="6"/>
  <c r="O10" i="6"/>
  <c r="O33" i="6"/>
  <c r="K44" i="6"/>
  <c r="AC19" i="6"/>
  <c r="O34" i="6"/>
  <c r="AC26" i="6"/>
  <c r="K42" i="6"/>
  <c r="AC27" i="6"/>
  <c r="AC11" i="6"/>
  <c r="AC20" i="6"/>
  <c r="O25" i="6"/>
  <c r="AC12" i="6"/>
  <c r="R13" i="6"/>
  <c r="O35" i="6"/>
  <c r="O26" i="6"/>
  <c r="AC8" i="6"/>
  <c r="O20" i="6"/>
  <c r="AC9" i="6"/>
  <c r="C13" i="6"/>
  <c r="R5" i="6"/>
  <c r="R37" i="6"/>
  <c r="O36" i="6"/>
  <c r="AC17" i="6"/>
  <c r="AC21" i="6"/>
  <c r="O19" i="6"/>
  <c r="O11" i="6"/>
  <c r="Z2" i="6"/>
  <c r="AC30" i="6"/>
  <c r="R22" i="6"/>
  <c r="AC28" i="6"/>
  <c r="AA33" i="6"/>
  <c r="AA13" i="6"/>
  <c r="AC18" i="6"/>
  <c r="O17" i="6"/>
  <c r="O28" i="6"/>
  <c r="O9" i="6"/>
  <c r="N2" i="6" l="1"/>
  <c r="K4" i="6"/>
  <c r="K5" i="6" s="1"/>
  <c r="E21" i="6"/>
  <c r="B7" i="6"/>
  <c r="B12" i="6" s="1"/>
  <c r="X8" i="6"/>
  <c r="E21" i="5"/>
  <c r="H17" i="5"/>
  <c r="H25" i="5"/>
  <c r="K29" i="5"/>
  <c r="K21" i="5"/>
  <c r="K13" i="5"/>
  <c r="N9" i="5"/>
  <c r="N17" i="5"/>
  <c r="N25" i="5"/>
  <c r="N33" i="5"/>
  <c r="E19" i="5"/>
  <c r="B7" i="5"/>
  <c r="B12" i="5" s="1"/>
  <c r="X6" i="5"/>
  <c r="R12" i="5"/>
  <c r="C14" i="5"/>
  <c r="C17" i="6"/>
  <c r="R28" i="5"/>
  <c r="C17" i="5"/>
  <c r="R14" i="6"/>
  <c r="C12" i="6"/>
  <c r="R4" i="5"/>
  <c r="C12" i="5"/>
  <c r="R6" i="6"/>
  <c r="C7" i="5"/>
  <c r="R38" i="6"/>
  <c r="C19" i="6"/>
  <c r="C18" i="6"/>
  <c r="R36" i="5"/>
  <c r="R20" i="5"/>
  <c r="C16" i="5"/>
  <c r="C7" i="6"/>
  <c r="C16" i="6"/>
  <c r="C15" i="5"/>
  <c r="R30" i="6"/>
  <c r="Q2" i="6" l="1"/>
  <c r="Q4" i="6" s="1"/>
  <c r="N4" i="6"/>
  <c r="N5" i="6" s="1"/>
  <c r="B16" i="6"/>
  <c r="B16" i="5"/>
  <c r="B15" i="5"/>
  <c r="Y7" i="5" s="1"/>
  <c r="Z8" i="5" s="1"/>
  <c r="AA9" i="5" s="1"/>
  <c r="AB10" i="5" s="1"/>
  <c r="AB19" i="5" s="1"/>
  <c r="B14" i="5"/>
  <c r="H23" i="5"/>
  <c r="K27" i="5" s="1"/>
  <c r="N31" i="5" s="1"/>
  <c r="Q35" i="5" s="1"/>
  <c r="AB19" i="4"/>
  <c r="Y7" i="4"/>
  <c r="Z8" i="4" s="1"/>
  <c r="AA9" i="4" s="1"/>
  <c r="AB10" i="4" s="1"/>
  <c r="Z7" i="4"/>
  <c r="AA8" i="4" s="1"/>
  <c r="AB9" i="4" s="1"/>
  <c r="AB18" i="4" s="1"/>
  <c r="X6" i="4"/>
  <c r="B7" i="4"/>
  <c r="B15" i="4" s="1"/>
  <c r="C16" i="4"/>
  <c r="R28" i="4"/>
  <c r="C17" i="4"/>
  <c r="R4" i="4"/>
  <c r="R36" i="4"/>
  <c r="C14" i="4"/>
  <c r="C12" i="4"/>
  <c r="C7" i="4"/>
  <c r="C15" i="4"/>
  <c r="R20" i="4"/>
  <c r="R12" i="4"/>
  <c r="AA7" i="4" l="1"/>
  <c r="AB8" i="4" s="1"/>
  <c r="AB17" i="4" s="1"/>
  <c r="H25" i="6"/>
  <c r="H27" i="6" s="1"/>
  <c r="Y18" i="6"/>
  <c r="Z19" i="6" s="1"/>
  <c r="AA20" i="6" s="1"/>
  <c r="B17" i="5"/>
  <c r="N32" i="5"/>
  <c r="N16" i="5"/>
  <c r="N24" i="5"/>
  <c r="K28" i="5" s="1"/>
  <c r="B18" i="6"/>
  <c r="H17" i="6"/>
  <c r="H15" i="5"/>
  <c r="Y6" i="5"/>
  <c r="H23" i="4"/>
  <c r="K27" i="4" s="1"/>
  <c r="N31" i="4" s="1"/>
  <c r="Q35" i="4" s="1"/>
  <c r="AA6" i="4" l="1"/>
  <c r="K29" i="6"/>
  <c r="Z10" i="6"/>
  <c r="AA19" i="6"/>
  <c r="AB20" i="6" s="1"/>
  <c r="AB19" i="6"/>
  <c r="AB21" i="6"/>
  <c r="K20" i="5"/>
  <c r="H24" i="5" s="1"/>
  <c r="K13" i="6"/>
  <c r="K21" i="6"/>
  <c r="K23" i="6" s="1"/>
  <c r="B19" i="6"/>
  <c r="Z7" i="5"/>
  <c r="AA8" i="5" s="1"/>
  <c r="AB9" i="5" s="1"/>
  <c r="AB18" i="5" s="1"/>
  <c r="AA18" i="5" s="1"/>
  <c r="Z6" i="5"/>
  <c r="K19" i="5"/>
  <c r="N23" i="5" s="1"/>
  <c r="Q27" i="5" s="1"/>
  <c r="K11" i="5"/>
  <c r="AB7" i="4"/>
  <c r="AB16" i="4" s="1"/>
  <c r="AB6" i="4"/>
  <c r="AB15" i="4" s="1"/>
  <c r="K28" i="6" l="1"/>
  <c r="N33" i="6" s="1"/>
  <c r="N35" i="6" s="1"/>
  <c r="K31" i="6"/>
  <c r="K20" i="6"/>
  <c r="N25" i="6" s="1"/>
  <c r="N27" i="6" s="1"/>
  <c r="N17" i="6"/>
  <c r="N19" i="6" s="1"/>
  <c r="AB18" i="6"/>
  <c r="AA8" i="6"/>
  <c r="AA9" i="6"/>
  <c r="AA11" i="6"/>
  <c r="AA10" i="6"/>
  <c r="N15" i="5"/>
  <c r="Q19" i="5" s="1"/>
  <c r="N7" i="5"/>
  <c r="AA6" i="5"/>
  <c r="AA7" i="5"/>
  <c r="AB8" i="5" s="1"/>
  <c r="AB17" i="5" s="1"/>
  <c r="AA17" i="5" s="1"/>
  <c r="Z17" i="5" s="1"/>
  <c r="B17" i="4"/>
  <c r="AA18" i="4" s="1"/>
  <c r="K11" i="4"/>
  <c r="K19" i="4"/>
  <c r="N23" i="4" s="1"/>
  <c r="Q27" i="4" s="1"/>
  <c r="Q28" i="4" s="1"/>
  <c r="Q37" i="6" l="1"/>
  <c r="Q38" i="6" s="1"/>
  <c r="AA15" i="4"/>
  <c r="AA17" i="4"/>
  <c r="Z17" i="4" s="1"/>
  <c r="N32" i="4"/>
  <c r="AA16" i="4"/>
  <c r="AB12" i="6"/>
  <c r="AB30" i="6" s="1"/>
  <c r="AB10" i="6"/>
  <c r="AB28" i="6" s="1"/>
  <c r="AB8" i="6"/>
  <c r="AB9" i="6"/>
  <c r="AB27" i="6" s="1"/>
  <c r="Q21" i="6"/>
  <c r="Q22" i="6" s="1"/>
  <c r="AB11" i="6"/>
  <c r="AB29" i="6" s="1"/>
  <c r="Q29" i="6"/>
  <c r="AB6" i="5"/>
  <c r="AB15" i="5" s="1"/>
  <c r="AB7" i="5"/>
  <c r="AB16" i="5" s="1"/>
  <c r="Q11" i="5"/>
  <c r="Q3" i="5"/>
  <c r="N8" i="5" s="1"/>
  <c r="K12" i="5" s="1"/>
  <c r="H16" i="5" s="1"/>
  <c r="E20" i="5" s="1"/>
  <c r="B19" i="5" s="1"/>
  <c r="N15" i="4"/>
  <c r="Q19" i="4" s="1"/>
  <c r="N7" i="4"/>
  <c r="Q20" i="4" l="1"/>
  <c r="N24" i="4" s="1"/>
  <c r="K28" i="4" s="1"/>
  <c r="Z26" i="6"/>
  <c r="AA29" i="6"/>
  <c r="AA28" i="6"/>
  <c r="AA27" i="6"/>
  <c r="Z16" i="4"/>
  <c r="Y16" i="4" s="1"/>
  <c r="Q13" i="6"/>
  <c r="Q14" i="6" s="1"/>
  <c r="Q5" i="6"/>
  <c r="Q6" i="6" s="1"/>
  <c r="Q30" i="6"/>
  <c r="N36" i="6" s="1"/>
  <c r="AA15" i="5"/>
  <c r="AA16" i="5"/>
  <c r="Z16" i="5" s="1"/>
  <c r="Y16" i="5" s="1"/>
  <c r="Z15" i="4"/>
  <c r="Q3" i="4"/>
  <c r="Q11" i="4"/>
  <c r="Q12" i="4" l="1"/>
  <c r="N16" i="4" s="1"/>
  <c r="K20" i="4" s="1"/>
  <c r="H24" i="4" s="1"/>
  <c r="Y15" i="4"/>
  <c r="X15" i="4" s="1"/>
  <c r="Z28" i="6"/>
  <c r="N20" i="6"/>
  <c r="N18" i="6"/>
  <c r="Z27" i="6"/>
  <c r="N28" i="6"/>
  <c r="N26" i="6"/>
  <c r="N12" i="6"/>
  <c r="N34" i="6"/>
  <c r="Z15" i="5"/>
  <c r="Y15" i="5" s="1"/>
  <c r="X15" i="5" s="1"/>
  <c r="N8" i="4"/>
  <c r="Y27" i="6" l="1"/>
  <c r="K12" i="4"/>
  <c r="H16" i="4" s="1"/>
  <c r="K22" i="6"/>
  <c r="Y26" i="6"/>
  <c r="X26" i="6" s="1"/>
  <c r="K30" i="6"/>
  <c r="K14" i="6"/>
  <c r="H18" i="6" s="1"/>
  <c r="T27" i="2"/>
  <c r="E31" i="2"/>
  <c r="E39" i="2" s="1"/>
  <c r="I17" i="2"/>
  <c r="I7" i="2"/>
  <c r="A36" i="3"/>
  <c r="E32" i="3" s="1"/>
  <c r="C27" i="3"/>
  <c r="C28" i="3" s="1"/>
  <c r="N45" i="3"/>
  <c r="K27" i="3"/>
  <c r="F32" i="3"/>
  <c r="Y32" i="2"/>
  <c r="V9" i="2"/>
  <c r="J7" i="2"/>
  <c r="O20" i="2"/>
  <c r="V10" i="2"/>
  <c r="N25" i="3"/>
  <c r="V17" i="2"/>
  <c r="K33" i="3"/>
  <c r="H41" i="3"/>
  <c r="N40" i="3"/>
  <c r="N30" i="3"/>
  <c r="C13" i="2"/>
  <c r="F42" i="2"/>
  <c r="F31" i="2"/>
  <c r="F38" i="2"/>
  <c r="B36" i="3"/>
  <c r="O9" i="2"/>
  <c r="D28" i="3"/>
  <c r="Y31" i="2"/>
  <c r="K43" i="3"/>
  <c r="V14" i="2"/>
  <c r="V15" i="2"/>
  <c r="F39" i="3"/>
  <c r="J17" i="2"/>
  <c r="O10" i="2"/>
  <c r="D27" i="3"/>
  <c r="H30" i="3"/>
  <c r="F39" i="2"/>
  <c r="K38" i="3"/>
  <c r="V11" i="2"/>
  <c r="O23" i="2"/>
  <c r="I35" i="3"/>
  <c r="I36" i="3"/>
  <c r="Y22" i="2"/>
  <c r="Y21" i="2"/>
  <c r="N36" i="3"/>
  <c r="F45" i="2"/>
  <c r="E20" i="4" l="1"/>
  <c r="B19" i="4" s="1"/>
  <c r="H26" i="6"/>
  <c r="E38" i="2"/>
  <c r="H35" i="3"/>
  <c r="J38" i="3" s="1"/>
  <c r="M40" i="3" s="1"/>
  <c r="G30" i="3"/>
  <c r="E39" i="3"/>
  <c r="E22" i="6" l="1"/>
  <c r="B21" i="6" s="1"/>
  <c r="H36" i="3"/>
  <c r="G41" i="3"/>
  <c r="J43" i="3" s="1"/>
  <c r="M45" i="3" s="1"/>
  <c r="J33" i="3"/>
  <c r="M36" i="3" s="1"/>
  <c r="J27" i="3"/>
  <c r="M25" i="3" l="1"/>
  <c r="M30" i="3"/>
  <c r="B16" i="2" l="1"/>
  <c r="B15" i="2"/>
  <c r="B8" i="2"/>
  <c r="E12" i="2"/>
  <c r="C15" i="2"/>
  <c r="C8" i="2"/>
  <c r="C16" i="2"/>
  <c r="B13" i="2" l="1"/>
  <c r="E42" i="2"/>
  <c r="E45" i="2" s="1"/>
  <c r="N9" i="2" l="1"/>
  <c r="N10" i="2" s="1"/>
  <c r="N20" i="2"/>
  <c r="N23" i="2" s="1"/>
  <c r="U9" i="2"/>
  <c r="U11" i="2" l="1"/>
  <c r="X31" i="2" s="1"/>
  <c r="X32" i="2" s="1"/>
  <c r="U10" i="2"/>
  <c r="X21" i="2" s="1"/>
  <c r="X22" i="2" s="1"/>
  <c r="U14" i="2"/>
  <c r="U15" i="2" s="1"/>
  <c r="U17" i="2"/>
</calcChain>
</file>

<file path=xl/sharedStrings.xml><?xml version="1.0" encoding="utf-8"?>
<sst xmlns="http://schemas.openxmlformats.org/spreadsheetml/2006/main" count="327" uniqueCount="157">
  <si>
    <t>Su</t>
  </si>
  <si>
    <t>fu</t>
  </si>
  <si>
    <t>Sd</t>
  </si>
  <si>
    <t>fd</t>
  </si>
  <si>
    <t>Today</t>
  </si>
  <si>
    <t>Maturity</t>
  </si>
  <si>
    <t>Strike</t>
  </si>
  <si>
    <t>Time</t>
  </si>
  <si>
    <r>
      <t>S</t>
    </r>
    <r>
      <rPr>
        <vertAlign val="subscript"/>
        <sz val="16"/>
        <color theme="1"/>
        <rFont val="Arial"/>
        <family val="2"/>
      </rPr>
      <t>0</t>
    </r>
  </si>
  <si>
    <t>Rfr (c.c.)</t>
  </si>
  <si>
    <t>u</t>
  </si>
  <si>
    <t>d</t>
  </si>
  <si>
    <t>% decrease in the stock price on a down move</t>
  </si>
  <si>
    <t>% increase in the stock price on an up move</t>
  </si>
  <si>
    <t>delta</t>
  </si>
  <si>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 xml:space="preserve"> the change in the option's premium for a change in the underlying</t>
    </r>
  </si>
  <si>
    <t>n</t>
  </si>
  <si>
    <t>number of steps/iterations in tree</t>
  </si>
  <si>
    <t>% increase in the the stock price on an up move</t>
  </si>
  <si>
    <t>T</t>
  </si>
  <si>
    <t>Δt</t>
  </si>
  <si>
    <t>Δt = 3 months</t>
  </si>
  <si>
    <t>TIME TO EXPIRATION = T</t>
  </si>
  <si>
    <t>Stock</t>
  </si>
  <si>
    <t>AMD</t>
  </si>
  <si>
    <t xml:space="preserve">Value of the portfolio on the up node </t>
  </si>
  <si>
    <t xml:space="preserve">Value of the portfolio on the down node </t>
  </si>
  <si>
    <r>
      <t>V</t>
    </r>
    <r>
      <rPr>
        <vertAlign val="subscript"/>
        <sz val="16"/>
        <color theme="1"/>
        <rFont val="Arial"/>
        <family val="2"/>
      </rPr>
      <t>u</t>
    </r>
    <r>
      <rPr>
        <sz val="16"/>
        <color theme="1"/>
        <rFont val="Arial"/>
        <family val="2"/>
      </rPr>
      <t xml:space="preserve"> = Su*(</t>
    </r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>)-fu</t>
    </r>
  </si>
  <si>
    <r>
      <t>V</t>
    </r>
    <r>
      <rPr>
        <vertAlign val="subscript"/>
        <sz val="16"/>
        <color theme="1"/>
        <rFont val="Arial"/>
        <family val="2"/>
      </rPr>
      <t>d</t>
    </r>
    <r>
      <rPr>
        <sz val="16"/>
        <color theme="1"/>
        <rFont val="Arial"/>
        <family val="2"/>
      </rPr>
      <t xml:space="preserve"> = Sd*(</t>
    </r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>)-fd</t>
    </r>
  </si>
  <si>
    <t>The value of the portfolio is the SAME on the UP node as it is on the DOWN node. Set them equal to each other and solve for the delta.</t>
  </si>
  <si>
    <t xml:space="preserve"> 110(Δ)- 10.00 = 80(Δ) - 0 </t>
  </si>
  <si>
    <t xml:space="preserve"> 110(Δ) -  80(Δ) = 10 - 0</t>
  </si>
  <si>
    <t xml:space="preserve"> 30(Δ) = 10 </t>
  </si>
  <si>
    <t xml:space="preserve">(Δ) = 10/30 </t>
  </si>
  <si>
    <t>(Δ) = 0.3333</t>
  </si>
  <si>
    <r>
      <t>Su(</t>
    </r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>) - fu = Sd(</t>
    </r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>) - fd</t>
    </r>
  </si>
  <si>
    <t>Solve for the value of the portfolio at T</t>
  </si>
  <si>
    <t xml:space="preserve">delta </t>
  </si>
  <si>
    <t>up</t>
  </si>
  <si>
    <t>down</t>
  </si>
  <si>
    <t>Find the Present Value of the Portfolio at T and set it equal to the portfolio at t=0</t>
  </si>
  <si>
    <t>PV</t>
  </si>
  <si>
    <t>94.27(0.3333) - f = 26.45</t>
  </si>
  <si>
    <t>Solve for the option's price (premium) at time = 0</t>
  </si>
  <si>
    <t>Chg. In Time</t>
  </si>
  <si>
    <t>Solving for an Option's Premium using the Binomial Tree Model</t>
  </si>
  <si>
    <t>Risk Neutral Solution</t>
  </si>
  <si>
    <t>Using Probability of Up and Down Move</t>
  </si>
  <si>
    <t>p</t>
  </si>
  <si>
    <t>1-p</t>
  </si>
  <si>
    <t>probability of an up move in a risk neutral world</t>
  </si>
  <si>
    <t>probability of a down move in a risk neutral world</t>
  </si>
  <si>
    <t xml:space="preserve"> </t>
  </si>
  <si>
    <r>
      <t>p = (e</t>
    </r>
    <r>
      <rPr>
        <vertAlign val="superscript"/>
        <sz val="16"/>
        <color theme="1"/>
        <rFont val="Arial"/>
        <family val="2"/>
      </rPr>
      <t>r*change in time</t>
    </r>
    <r>
      <rPr>
        <sz val="16"/>
        <color theme="1"/>
        <rFont val="Arial"/>
        <family val="2"/>
      </rPr>
      <t xml:space="preserve"> - d) / (u - d)</t>
    </r>
  </si>
  <si>
    <t xml:space="preserve">1- p </t>
  </si>
  <si>
    <t xml:space="preserve">Solve for the option's premium by solving for the present value of the </t>
  </si>
  <si>
    <t>probability of an up-move times the value of the option on the up-move</t>
  </si>
  <si>
    <t>plus the probability of a down-move time the value of the option on the</t>
  </si>
  <si>
    <t>down-move.</t>
  </si>
  <si>
    <t>f</t>
  </si>
  <si>
    <t>f =</t>
  </si>
  <si>
    <t>check</t>
  </si>
  <si>
    <r>
      <t xml:space="preserve">d = exp( - </t>
    </r>
    <r>
      <rPr>
        <sz val="16"/>
        <color theme="1"/>
        <rFont val="Calibri"/>
        <family val="2"/>
      </rPr>
      <t>σ</t>
    </r>
    <r>
      <rPr>
        <sz val="12.8"/>
        <color theme="1"/>
        <rFont val="Arial"/>
        <family val="2"/>
      </rPr>
      <t xml:space="preserve"> * </t>
    </r>
    <r>
      <rPr>
        <sz val="12.8"/>
        <color theme="1"/>
        <rFont val="Calibri"/>
        <family val="2"/>
      </rPr>
      <t>√</t>
    </r>
    <r>
      <rPr>
        <sz val="10.25"/>
        <color theme="1"/>
        <rFont val="Arial"/>
        <family val="2"/>
      </rPr>
      <t>change in time</t>
    </r>
    <r>
      <rPr>
        <sz val="16"/>
        <color theme="1"/>
        <rFont val="Arial"/>
        <family val="2"/>
      </rPr>
      <t xml:space="preserve"> )</t>
    </r>
  </si>
  <si>
    <r>
      <t xml:space="preserve">u = exp( </t>
    </r>
    <r>
      <rPr>
        <sz val="16"/>
        <color theme="1"/>
        <rFont val="Calibri"/>
        <family val="2"/>
      </rPr>
      <t>σ</t>
    </r>
    <r>
      <rPr>
        <sz val="12.8"/>
        <color theme="1"/>
        <rFont val="Arial"/>
        <family val="2"/>
      </rPr>
      <t xml:space="preserve"> * </t>
    </r>
    <r>
      <rPr>
        <sz val="12.8"/>
        <color theme="1"/>
        <rFont val="Calibri"/>
        <family val="2"/>
      </rPr>
      <t>√</t>
    </r>
    <r>
      <rPr>
        <sz val="10.25"/>
        <color theme="1"/>
        <rFont val="Arial"/>
        <family val="2"/>
      </rPr>
      <t>change in time</t>
    </r>
    <r>
      <rPr>
        <sz val="16"/>
        <color theme="1"/>
        <rFont val="Arial"/>
        <family val="2"/>
      </rPr>
      <t xml:space="preserve"> )</t>
    </r>
  </si>
  <si>
    <r>
      <t xml:space="preserve">Volatilty </t>
    </r>
    <r>
      <rPr>
        <sz val="16"/>
        <color theme="1"/>
        <rFont val="Calibri"/>
        <family val="2"/>
      </rPr>
      <t>σ</t>
    </r>
  </si>
  <si>
    <t>Change in time</t>
  </si>
  <si>
    <t>Going forward we will use the acutal volatilty of the underlying to solve for the values of u and d.</t>
  </si>
  <si>
    <t>European Call on AMD Stock $100 Strike Call</t>
  </si>
  <si>
    <t>Change in Time</t>
  </si>
  <si>
    <t>Formulatext</t>
  </si>
  <si>
    <t>Su(Δ) - fu</t>
  </si>
  <si>
    <t>Sd(Δ) - fd</t>
  </si>
  <si>
    <t xml:space="preserve">p </t>
  </si>
  <si>
    <t>Sud</t>
  </si>
  <si>
    <t>Suu</t>
  </si>
  <si>
    <t>Sdd</t>
  </si>
  <si>
    <t>NODE</t>
  </si>
  <si>
    <t>Suuu</t>
  </si>
  <si>
    <t>Suuuu</t>
  </si>
  <si>
    <t>Suud</t>
  </si>
  <si>
    <t>Sudd</t>
  </si>
  <si>
    <t>Sddd</t>
  </si>
  <si>
    <t>Suuud</t>
  </si>
  <si>
    <t>Suudd</t>
  </si>
  <si>
    <t>Suddd</t>
  </si>
  <si>
    <t>Sdddd</t>
  </si>
  <si>
    <t>fuuuu</t>
  </si>
  <si>
    <t>fuuud</t>
  </si>
  <si>
    <t>Call or Put</t>
  </si>
  <si>
    <t>P</t>
  </si>
  <si>
    <t>Path of the Underlying</t>
  </si>
  <si>
    <t>Premium of the Option</t>
  </si>
  <si>
    <t>Streamlined and Eloquent Approach to the Model</t>
  </si>
  <si>
    <r>
      <t>S</t>
    </r>
    <r>
      <rPr>
        <b/>
        <vertAlign val="subscript"/>
        <sz val="16"/>
        <color theme="1"/>
        <rFont val="Arial"/>
        <family val="2"/>
      </rPr>
      <t>0</t>
    </r>
  </si>
  <si>
    <t>European Options - 4 Step Binomial Tree</t>
  </si>
  <si>
    <t>American Option - No Income 4 Step</t>
  </si>
  <si>
    <t>Early Exerc.</t>
  </si>
  <si>
    <t>bp</t>
  </si>
  <si>
    <t>American Option - Income 4 Step</t>
  </si>
  <si>
    <t>Path of the Underlying - Puts</t>
  </si>
  <si>
    <t>Dividend</t>
  </si>
  <si>
    <t>Annual Dividend Yield</t>
  </si>
  <si>
    <t>Change in Time (days)</t>
  </si>
  <si>
    <t>ex dividend</t>
  </si>
  <si>
    <t>Suu*</t>
  </si>
  <si>
    <t>Sud*</t>
  </si>
  <si>
    <t>Sdd*</t>
  </si>
  <si>
    <t>Quarterly Dividend Yield</t>
  </si>
  <si>
    <t>Path of the Underlying - Calls</t>
  </si>
  <si>
    <t>fuu</t>
  </si>
  <si>
    <t>fud</t>
  </si>
  <si>
    <t>fdd.</t>
  </si>
  <si>
    <t>fuuu</t>
  </si>
  <si>
    <t>fuud</t>
  </si>
  <si>
    <t>fudd</t>
  </si>
  <si>
    <t>fddd</t>
  </si>
  <si>
    <t>fdddd</t>
  </si>
  <si>
    <t>fuddd</t>
  </si>
  <si>
    <t>fuudd</t>
  </si>
  <si>
    <t>fdd</t>
  </si>
  <si>
    <t>Next Ex-Dividend Date</t>
  </si>
  <si>
    <t>σ</t>
  </si>
  <si>
    <t>Actual Market Price</t>
  </si>
  <si>
    <t>Call</t>
  </si>
  <si>
    <t>Put</t>
  </si>
  <si>
    <t>Volatilty σ</t>
  </si>
  <si>
    <t>formulation</t>
  </si>
  <si>
    <t>formulatext</t>
  </si>
  <si>
    <r>
      <t>S</t>
    </r>
    <r>
      <rPr>
        <b/>
        <i/>
        <vertAlign val="subscript"/>
        <sz val="11"/>
        <color theme="1"/>
        <rFont val="Arial"/>
        <family val="2"/>
      </rPr>
      <t>0</t>
    </r>
  </si>
  <si>
    <t>S = price of the stock today</t>
  </si>
  <si>
    <r>
      <rPr>
        <sz val="16"/>
        <color theme="1"/>
        <rFont val="Calibri"/>
        <family val="2"/>
      </rPr>
      <t>Δ</t>
    </r>
    <r>
      <rPr>
        <sz val="12.8"/>
        <color theme="1"/>
        <rFont val="Arial"/>
        <family val="2"/>
      </rPr>
      <t xml:space="preserve">= delta, the change in the options premium for a change in the underlying asset.   </t>
    </r>
  </si>
  <si>
    <t>f = the premium of the option</t>
  </si>
  <si>
    <r>
      <t>V</t>
    </r>
    <r>
      <rPr>
        <vertAlign val="subscript"/>
        <sz val="16"/>
        <color theme="1"/>
        <rFont val="Arial"/>
        <family val="2"/>
      </rPr>
      <t>PT</t>
    </r>
    <r>
      <rPr>
        <sz val="16"/>
        <color theme="1"/>
        <rFont val="Arial"/>
        <family val="2"/>
      </rPr>
      <t xml:space="preserve"> = the value of the portfolio at maturity of the option</t>
    </r>
  </si>
  <si>
    <t>r = risk free rate continuously compounded</t>
  </si>
  <si>
    <t>T = time to maturity of the option.</t>
  </si>
  <si>
    <r>
      <t>S(</t>
    </r>
    <r>
      <rPr>
        <sz val="16"/>
        <color theme="1"/>
        <rFont val="Calibri"/>
        <family val="2"/>
      </rPr>
      <t>Δ</t>
    </r>
    <r>
      <rPr>
        <sz val="16"/>
        <color theme="1"/>
        <rFont val="Arial"/>
        <family val="2"/>
      </rPr>
      <t>) - f = V</t>
    </r>
    <r>
      <rPr>
        <vertAlign val="subscript"/>
        <sz val="16"/>
        <color theme="1"/>
        <rFont val="Arial"/>
        <family val="2"/>
      </rPr>
      <t xml:space="preserve">PT </t>
    </r>
    <r>
      <rPr>
        <sz val="16"/>
        <color theme="1"/>
        <rFont val="Arial"/>
        <family val="2"/>
      </rPr>
      <t>*EXP</t>
    </r>
    <r>
      <rPr>
        <vertAlign val="superscript"/>
        <sz val="16"/>
        <color theme="1"/>
        <rFont val="Arial"/>
        <family val="2"/>
      </rPr>
      <t>(-r*T)</t>
    </r>
  </si>
  <si>
    <r>
      <t>V</t>
    </r>
    <r>
      <rPr>
        <vertAlign val="subscript"/>
        <sz val="16"/>
        <color theme="1"/>
        <rFont val="Arial"/>
        <family val="2"/>
      </rPr>
      <t xml:space="preserve">PT </t>
    </r>
    <r>
      <rPr>
        <sz val="16"/>
        <color theme="1"/>
        <rFont val="Arial"/>
        <family val="2"/>
      </rPr>
      <t>*EXP</t>
    </r>
    <r>
      <rPr>
        <vertAlign val="superscript"/>
        <sz val="16"/>
        <color theme="1"/>
        <rFont val="Arial"/>
        <family val="2"/>
      </rPr>
      <t>(-r*T)</t>
    </r>
  </si>
  <si>
    <r>
      <t>f = exp</t>
    </r>
    <r>
      <rPr>
        <b/>
        <vertAlign val="superscript"/>
        <sz val="16"/>
        <color theme="1"/>
        <rFont val="Arial"/>
        <family val="2"/>
      </rPr>
      <t>(-r*change in time)</t>
    </r>
    <r>
      <rPr>
        <b/>
        <sz val="16"/>
        <color theme="1"/>
        <rFont val="Arial"/>
        <family val="2"/>
      </rPr>
      <t>*[(p * fu) + ((1-p)*fd)]</t>
    </r>
  </si>
  <si>
    <t>N (number of iterations)</t>
  </si>
  <si>
    <t>Δt = 1 month</t>
  </si>
  <si>
    <t>Call Option</t>
  </si>
  <si>
    <t>long shares /short call</t>
  </si>
  <si>
    <t>Stock on up node *(delta of the option) - option premium</t>
  </si>
  <si>
    <t>Stock on down node *(delta of the option) - option premium</t>
  </si>
  <si>
    <t>$110 * delta - $10.00 = $80.00 * delta - $0.00</t>
  </si>
  <si>
    <t>$30*delta = $10</t>
  </si>
  <si>
    <t>$110*delta - $80.00*delta = $10.00</t>
  </si>
  <si>
    <t>delta = $10/$30</t>
  </si>
  <si>
    <t>$110*0.333  - $10</t>
  </si>
  <si>
    <t>$80 * 0.333 -$0.00</t>
  </si>
  <si>
    <t>Note that we will use the volatility from here on out to calculate the value of u and d</t>
  </si>
  <si>
    <t xml:space="preserve">to utililize either the historical volatility or implied volatility to get a much more accurate </t>
  </si>
  <si>
    <t>forecast of what the stock movement is "probably" going to look like.</t>
  </si>
  <si>
    <t>Change in Time (T/N)</t>
  </si>
  <si>
    <t>C</t>
  </si>
  <si>
    <t>Date as an Integer</t>
  </si>
  <si>
    <t>time=0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</si>
</sst>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* #,##0.00000_);_(* \(#,##0.00000\);_(* &quot;-&quot;??_);_(@_)"/>
  </numFmts>
  <fonts count="28" x14ac:knownFonts="1">
    <font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0"/>
      <color rgb="FF0070C0"/>
      <name val="Arial"/>
      <family val="2"/>
    </font>
    <font>
      <sz val="16"/>
      <color theme="1"/>
      <name val="Arial"/>
      <family val="2"/>
    </font>
    <font>
      <vertAlign val="subscript"/>
      <sz val="16"/>
      <color theme="1"/>
      <name val="Arial"/>
      <family val="2"/>
    </font>
    <font>
      <sz val="16"/>
      <color rgb="FF0070C0"/>
      <name val="Arial"/>
      <family val="2"/>
    </font>
    <font>
      <i/>
      <sz val="16"/>
      <color rgb="FFFF0000"/>
      <name val="Arial"/>
      <family val="2"/>
    </font>
    <font>
      <sz val="16"/>
      <color theme="1"/>
      <name val="Calibri"/>
      <family val="2"/>
    </font>
    <font>
      <sz val="16"/>
      <color theme="0"/>
      <name val="Arial"/>
      <family val="2"/>
    </font>
    <font>
      <vertAlign val="superscript"/>
      <sz val="16"/>
      <color theme="1"/>
      <name val="Arial"/>
      <family val="2"/>
    </font>
    <font>
      <b/>
      <sz val="16"/>
      <color theme="1"/>
      <name val="Arial"/>
      <family val="2"/>
    </font>
    <font>
      <sz val="12.8"/>
      <color theme="1"/>
      <name val="Arial"/>
      <family val="2"/>
    </font>
    <font>
      <sz val="12.8"/>
      <color theme="1"/>
      <name val="Calibri"/>
      <family val="2"/>
    </font>
    <font>
      <sz val="10.25"/>
      <color theme="1"/>
      <name val="Arial"/>
      <family val="2"/>
    </font>
    <font>
      <b/>
      <sz val="16"/>
      <color rgb="FF0070C0"/>
      <name val="Arial"/>
      <family val="2"/>
    </font>
    <font>
      <sz val="16"/>
      <name val="Arial"/>
      <family val="2"/>
    </font>
    <font>
      <b/>
      <vertAlign val="subscript"/>
      <sz val="16"/>
      <color theme="1"/>
      <name val="Arial"/>
      <family val="2"/>
    </font>
    <font>
      <b/>
      <sz val="16"/>
      <color rgb="FFFF0000"/>
      <name val="Arial"/>
      <family val="2"/>
    </font>
    <font>
      <b/>
      <sz val="16"/>
      <color theme="0"/>
      <name val="Arial"/>
      <family val="2"/>
    </font>
    <font>
      <b/>
      <sz val="20"/>
      <color rgb="FF0070C0"/>
      <name val="Arial"/>
      <family val="2"/>
    </font>
    <font>
      <b/>
      <i/>
      <sz val="11"/>
      <color theme="1"/>
      <name val="Arial"/>
      <family val="2"/>
    </font>
    <font>
      <b/>
      <i/>
      <sz val="11"/>
      <color rgb="FF0070C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i/>
      <vertAlign val="subscript"/>
      <sz val="11"/>
      <color theme="1"/>
      <name val="Arial"/>
      <family val="2"/>
    </font>
    <font>
      <b/>
      <i/>
      <sz val="11"/>
      <color rgb="FFFF0000"/>
      <name val="Arial"/>
      <family val="2"/>
    </font>
    <font>
      <b/>
      <vertAlign val="superscript"/>
      <sz val="16"/>
      <color theme="1"/>
      <name val="Arial"/>
      <family val="2"/>
    </font>
    <font>
      <b/>
      <i/>
      <sz val="16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3" fillId="0" borderId="0" xfId="0" applyFont="1"/>
    <xf numFmtId="44" fontId="5" fillId="0" borderId="0" xfId="2" applyFont="1"/>
    <xf numFmtId="14" fontId="5" fillId="0" borderId="0" xfId="0" applyNumberFormat="1" applyFont="1"/>
    <xf numFmtId="0" fontId="3" fillId="0" borderId="0" xfId="0" applyFont="1" applyAlignment="1">
      <alignment horizontal="right"/>
    </xf>
    <xf numFmtId="0" fontId="6" fillId="0" borderId="0" xfId="0" applyFont="1"/>
    <xf numFmtId="44" fontId="3" fillId="3" borderId="0" xfId="0" applyNumberFormat="1" applyFont="1" applyFill="1"/>
    <xf numFmtId="10" fontId="3" fillId="0" borderId="0" xfId="3" applyNumberFormat="1" applyFont="1"/>
    <xf numFmtId="10" fontId="5" fillId="0" borderId="0" xfId="3" applyNumberFormat="1" applyFont="1"/>
    <xf numFmtId="44" fontId="5" fillId="2" borderId="0" xfId="2" applyFont="1" applyFill="1"/>
    <xf numFmtId="44" fontId="3" fillId="2" borderId="0" xfId="2" applyFont="1" applyFill="1"/>
    <xf numFmtId="0" fontId="3" fillId="0" borderId="0" xfId="0" applyFont="1" applyAlignment="1">
      <alignment horizontal="left"/>
    </xf>
    <xf numFmtId="43" fontId="3" fillId="3" borderId="0" xfId="1" applyFont="1" applyFill="1"/>
    <xf numFmtId="43" fontId="3" fillId="0" borderId="0" xfId="0" applyNumberFormat="1" applyFont="1"/>
    <xf numFmtId="43" fontId="3" fillId="3" borderId="0" xfId="0" applyNumberFormat="1" applyFont="1" applyFill="1"/>
    <xf numFmtId="0" fontId="5" fillId="0" borderId="0" xfId="0" applyFont="1"/>
    <xf numFmtId="0" fontId="8" fillId="6" borderId="0" xfId="0" applyFont="1" applyFill="1"/>
    <xf numFmtId="0" fontId="8" fillId="6" borderId="0" xfId="0" applyFont="1" applyFill="1" applyAlignment="1">
      <alignment horizontal="center"/>
    </xf>
    <xf numFmtId="0" fontId="2" fillId="0" borderId="0" xfId="0" applyFont="1"/>
    <xf numFmtId="44" fontId="3" fillId="0" borderId="0" xfId="2" applyFont="1"/>
    <xf numFmtId="0" fontId="10" fillId="0" borderId="0" xfId="0" applyFont="1"/>
    <xf numFmtId="0" fontId="3" fillId="6" borderId="0" xfId="0" applyFont="1" applyFill="1"/>
    <xf numFmtId="0" fontId="6" fillId="6" borderId="0" xfId="0" applyFont="1" applyFill="1"/>
    <xf numFmtId="0" fontId="3" fillId="6" borderId="0" xfId="0" applyFont="1" applyFill="1" applyAlignment="1">
      <alignment horizontal="left"/>
    </xf>
    <xf numFmtId="0" fontId="3" fillId="7" borderId="0" xfId="0" applyFont="1" applyFill="1" applyAlignment="1">
      <alignment horizontal="left"/>
    </xf>
    <xf numFmtId="16" fontId="3" fillId="0" borderId="0" xfId="0" applyNumberFormat="1" applyFont="1" applyAlignment="1">
      <alignment horizontal="left"/>
    </xf>
    <xf numFmtId="10" fontId="3" fillId="3" borderId="0" xfId="3" applyNumberFormat="1" applyFont="1" applyFill="1"/>
    <xf numFmtId="10" fontId="3" fillId="3" borderId="0" xfId="0" applyNumberFormat="1" applyFont="1" applyFill="1"/>
    <xf numFmtId="0" fontId="3" fillId="3" borderId="0" xfId="0" applyFont="1" applyFill="1"/>
    <xf numFmtId="44" fontId="3" fillId="3" borderId="0" xfId="2" applyFont="1" applyFill="1"/>
    <xf numFmtId="0" fontId="14" fillId="0" borderId="0" xfId="0" applyFont="1"/>
    <xf numFmtId="164" fontId="3" fillId="3" borderId="0" xfId="1" applyNumberFormat="1" applyFont="1" applyFill="1"/>
    <xf numFmtId="164" fontId="3" fillId="3" borderId="0" xfId="0" applyNumberFormat="1" applyFont="1" applyFill="1"/>
    <xf numFmtId="0" fontId="5" fillId="3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44" fontId="3" fillId="8" borderId="0" xfId="2" applyFont="1" applyFill="1"/>
    <xf numFmtId="44" fontId="15" fillId="8" borderId="0" xfId="2" applyFont="1" applyFill="1"/>
    <xf numFmtId="0" fontId="10" fillId="0" borderId="0" xfId="0" applyFont="1" applyAlignment="1">
      <alignment horizontal="right"/>
    </xf>
    <xf numFmtId="44" fontId="3" fillId="8" borderId="0" xfId="0" applyNumberFormat="1" applyFont="1" applyFill="1"/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44" fontId="3" fillId="11" borderId="0" xfId="2" applyFont="1" applyFill="1"/>
    <xf numFmtId="14" fontId="3" fillId="0" borderId="0" xfId="0" applyNumberFormat="1" applyFont="1"/>
    <xf numFmtId="44" fontId="3" fillId="12" borderId="0" xfId="0" applyNumberFormat="1" applyFont="1" applyFill="1"/>
    <xf numFmtId="10" fontId="5" fillId="0" borderId="0" xfId="0" applyNumberFormat="1" applyFont="1"/>
    <xf numFmtId="0" fontId="6" fillId="0" borderId="0" xfId="0" applyFont="1" applyAlignment="1">
      <alignment horizontal="left"/>
    </xf>
    <xf numFmtId="0" fontId="17" fillId="0" borderId="0" xfId="0" applyFont="1" applyAlignment="1">
      <alignment horizontal="center"/>
    </xf>
    <xf numFmtId="0" fontId="18" fillId="6" borderId="2" xfId="0" applyFont="1" applyFill="1" applyBorder="1"/>
    <xf numFmtId="0" fontId="8" fillId="6" borderId="2" xfId="0" applyFont="1" applyFill="1" applyBorder="1" applyAlignment="1">
      <alignment horizontal="center"/>
    </xf>
    <xf numFmtId="10" fontId="3" fillId="9" borderId="0" xfId="3" applyNumberFormat="1" applyFont="1" applyFill="1"/>
    <xf numFmtId="44" fontId="15" fillId="9" borderId="0" xfId="0" applyNumberFormat="1" applyFont="1" applyFill="1"/>
    <xf numFmtId="0" fontId="19" fillId="0" borderId="0" xfId="0" applyFont="1"/>
    <xf numFmtId="44" fontId="8" fillId="10" borderId="0" xfId="2" applyFont="1" applyFill="1"/>
    <xf numFmtId="0" fontId="20" fillId="0" borderId="1" xfId="0" applyFont="1" applyBorder="1"/>
    <xf numFmtId="0" fontId="21" fillId="0" borderId="1" xfId="0" applyFont="1" applyBorder="1"/>
    <xf numFmtId="0" fontId="20" fillId="0" borderId="0" xfId="0" applyFont="1"/>
    <xf numFmtId="0" fontId="22" fillId="0" borderId="0" xfId="0" applyFont="1"/>
    <xf numFmtId="9" fontId="21" fillId="0" borderId="1" xfId="3" applyFont="1" applyBorder="1"/>
    <xf numFmtId="44" fontId="22" fillId="0" borderId="0" xfId="0" applyNumberFormat="1" applyFont="1"/>
    <xf numFmtId="44" fontId="22" fillId="4" borderId="0" xfId="0" applyNumberFormat="1" applyFont="1" applyFill="1"/>
    <xf numFmtId="0" fontId="23" fillId="0" borderId="0" xfId="0" applyFont="1"/>
    <xf numFmtId="44" fontId="21" fillId="0" borderId="1" xfId="2" applyFont="1" applyBorder="1"/>
    <xf numFmtId="0" fontId="25" fillId="0" borderId="0" xfId="0" applyFont="1"/>
    <xf numFmtId="44" fontId="22" fillId="5" borderId="0" xfId="0" applyNumberFormat="1" applyFont="1" applyFill="1"/>
    <xf numFmtId="44" fontId="22" fillId="2" borderId="0" xfId="0" applyNumberFormat="1" applyFont="1" applyFill="1"/>
    <xf numFmtId="0" fontId="3" fillId="13" borderId="0" xfId="0" applyFont="1" applyFill="1"/>
    <xf numFmtId="0" fontId="27" fillId="2" borderId="0" xfId="0" applyFont="1" applyFill="1"/>
    <xf numFmtId="0" fontId="3" fillId="14" borderId="0" xfId="0" applyFont="1" applyFill="1"/>
    <xf numFmtId="0" fontId="6" fillId="0" borderId="0" xfId="0" applyFont="1" applyAlignment="1">
      <alignment horizontal="right"/>
    </xf>
    <xf numFmtId="165" fontId="3" fillId="0" borderId="0" xfId="1" applyNumberFormat="1" applyFont="1"/>
    <xf numFmtId="43" fontId="3" fillId="15" borderId="0" xfId="1" applyFont="1" applyFill="1"/>
    <xf numFmtId="0" fontId="6" fillId="0" borderId="0" xfId="0" applyFont="1" applyAlignment="1">
      <alignment horizontal="center"/>
    </xf>
    <xf numFmtId="0" fontId="8" fillId="6" borderId="0" xfId="0" applyFont="1" applyFill="1" applyAlignment="1">
      <alignment horizontal="center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609599</xdr:colOff>
      <xdr:row>1</xdr:row>
      <xdr:rowOff>180975</xdr:rowOff>
    </xdr:from>
    <xdr:ext cx="6900863" cy="352107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2CC0111-5400-49A3-9675-CB26D9C0883C}"/>
            </a:ext>
          </a:extLst>
        </xdr:cNvPr>
        <xdr:cNvSpPr txBox="1"/>
      </xdr:nvSpPr>
      <xdr:spPr>
        <a:xfrm>
          <a:off x="609599" y="371475"/>
          <a:ext cx="6900863" cy="3521076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  <a:sp3d extrusionH="57150">
            <a:bevelT w="12700"/>
          </a:sp3d>
        </a:bodyPr>
        <a:lstStyle/>
        <a:p>
          <a:r>
            <a:rPr lang="en-US" sz="18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Binomial trees</a:t>
          </a:r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present a very useful and well used methodology/technique for pricing options.  The tree represents different possible paths that might be followed/taken by the underlying during the life of the option.</a:t>
          </a:r>
        </a:p>
        <a:p>
          <a:r>
            <a:rPr lang="en-US" sz="18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Assumption</a:t>
          </a:r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 The underlying follows a random walk path.  In each iteration/step on the tree, the underlying has a certain probability of moving up by a certain % and a certain probability of moving down by a certain % amount.</a:t>
          </a:r>
        </a:p>
        <a:p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Let </a:t>
          </a:r>
          <a:r>
            <a:rPr lang="en-US" sz="18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</a:t>
          </a:r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= the % increase in the stock price/underlying price on an up move for one interation/step of the binomial tree.</a:t>
          </a:r>
        </a:p>
        <a:p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Let </a:t>
          </a:r>
          <a:r>
            <a:rPr lang="en-US" sz="1800" b="1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 </a:t>
          </a:r>
          <a:r>
            <a:rPr lang="en-US" sz="1800" i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= the % decrease in the stock price/underlying price on a down move for one iteration/step of the binomial tree.</a:t>
          </a:r>
        </a:p>
      </xdr:txBody>
    </xdr:sp>
    <xdr:clientData/>
  </xdr:oneCellAnchor>
  <xdr:twoCellAnchor>
    <xdr:from>
      <xdr:col>1</xdr:col>
      <xdr:colOff>127000</xdr:colOff>
      <xdr:row>24</xdr:row>
      <xdr:rowOff>12700</xdr:rowOff>
    </xdr:from>
    <xdr:to>
      <xdr:col>12</xdr:col>
      <xdr:colOff>31750</xdr:colOff>
      <xdr:row>35</xdr:row>
      <xdr:rowOff>57150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847F5363-723F-406D-A6D9-F97D82B033B1}"/>
            </a:ext>
          </a:extLst>
        </xdr:cNvPr>
        <xdr:cNvCxnSpPr/>
      </xdr:nvCxnSpPr>
      <xdr:spPr>
        <a:xfrm flipV="1">
          <a:off x="860425" y="4584700"/>
          <a:ext cx="7877175" cy="2178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184150</xdr:colOff>
      <xdr:row>35</xdr:row>
      <xdr:rowOff>44450</xdr:rowOff>
    </xdr:from>
    <xdr:to>
      <xdr:col>12</xdr:col>
      <xdr:colOff>114300</xdr:colOff>
      <xdr:row>43</xdr:row>
      <xdr:rowOff>165100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18F0A177-E77F-477B-91B2-B7DF47FE7AF0}"/>
            </a:ext>
          </a:extLst>
        </xdr:cNvPr>
        <xdr:cNvCxnSpPr/>
      </xdr:nvCxnSpPr>
      <xdr:spPr>
        <a:xfrm>
          <a:off x="917575" y="6750050"/>
          <a:ext cx="7902575" cy="16446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120650</xdr:colOff>
      <xdr:row>32</xdr:row>
      <xdr:rowOff>50800</xdr:rowOff>
    </xdr:from>
    <xdr:to>
      <xdr:col>12</xdr:col>
      <xdr:colOff>203200</xdr:colOff>
      <xdr:row>39</xdr:row>
      <xdr:rowOff>6350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9B3AAB7-E283-492E-B1EE-58191E8DBB7F}"/>
            </a:ext>
          </a:extLst>
        </xdr:cNvPr>
        <xdr:cNvCxnSpPr/>
      </xdr:nvCxnSpPr>
      <xdr:spPr>
        <a:xfrm>
          <a:off x="3035300" y="6184900"/>
          <a:ext cx="5873750" cy="12890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57150</xdr:colOff>
      <xdr:row>28</xdr:row>
      <xdr:rowOff>152400</xdr:rowOff>
    </xdr:from>
    <xdr:to>
      <xdr:col>12</xdr:col>
      <xdr:colOff>114300</xdr:colOff>
      <xdr:row>37</xdr:row>
      <xdr:rowOff>95250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20E6143A-32C4-49B2-ABBC-ACB7753F8D3F}"/>
            </a:ext>
          </a:extLst>
        </xdr:cNvPr>
        <xdr:cNvCxnSpPr/>
      </xdr:nvCxnSpPr>
      <xdr:spPr>
        <a:xfrm flipV="1">
          <a:off x="2971800" y="5524500"/>
          <a:ext cx="5848350" cy="1657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355600</xdr:colOff>
      <xdr:row>29</xdr:row>
      <xdr:rowOff>152400</xdr:rowOff>
    </xdr:from>
    <xdr:to>
      <xdr:col>12</xdr:col>
      <xdr:colOff>152400</xdr:colOff>
      <xdr:row>34</xdr:row>
      <xdr:rowOff>114300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A39448B-3D6B-42F4-B48F-F84D661E3F1D}"/>
            </a:ext>
          </a:extLst>
        </xdr:cNvPr>
        <xdr:cNvCxnSpPr/>
      </xdr:nvCxnSpPr>
      <xdr:spPr>
        <a:xfrm>
          <a:off x="4594225" y="5715000"/>
          <a:ext cx="4264025" cy="9144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374650</xdr:colOff>
      <xdr:row>34</xdr:row>
      <xdr:rowOff>101600</xdr:rowOff>
    </xdr:from>
    <xdr:to>
      <xdr:col>12</xdr:col>
      <xdr:colOff>171450</xdr:colOff>
      <xdr:row>39</xdr:row>
      <xdr:rowOff>82550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FA094A1F-0F1E-4A18-83AB-F63A6F14040E}"/>
            </a:ext>
          </a:extLst>
        </xdr:cNvPr>
        <xdr:cNvCxnSpPr/>
      </xdr:nvCxnSpPr>
      <xdr:spPr>
        <a:xfrm flipV="1">
          <a:off x="4613275" y="6616700"/>
          <a:ext cx="4264025" cy="933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95250</xdr:colOff>
      <xdr:row>27</xdr:row>
      <xdr:rowOff>6350</xdr:rowOff>
    </xdr:from>
    <xdr:to>
      <xdr:col>12</xdr:col>
      <xdr:colOff>101600</xdr:colOff>
      <xdr:row>28</xdr:row>
      <xdr:rowOff>139700</xdr:rowOff>
    </xdr:to>
    <xdr:cxnSp macro="">
      <xdr:nvCxnSpPr>
        <xdr:cNvPr id="9" name="Straight Connector 8">
          <a:extLst>
            <a:ext uri="{FF2B5EF4-FFF2-40B4-BE49-F238E27FC236}">
              <a16:creationId xmlns:a16="http://schemas.microsoft.com/office/drawing/2014/main" id="{A7BA4A16-1AE0-424D-8F05-BE5BE3A5655C}"/>
            </a:ext>
          </a:extLst>
        </xdr:cNvPr>
        <xdr:cNvCxnSpPr/>
      </xdr:nvCxnSpPr>
      <xdr:spPr>
        <a:xfrm>
          <a:off x="6781800" y="5187950"/>
          <a:ext cx="2025650" cy="3238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374650</xdr:colOff>
      <xdr:row>38</xdr:row>
      <xdr:rowOff>177800</xdr:rowOff>
    </xdr:from>
    <xdr:to>
      <xdr:col>12</xdr:col>
      <xdr:colOff>171450</xdr:colOff>
      <xdr:row>41</xdr:row>
      <xdr:rowOff>158750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7BAC0002-E803-473D-BCF7-A390A159D5C1}"/>
            </a:ext>
          </a:extLst>
        </xdr:cNvPr>
        <xdr:cNvCxnSpPr/>
      </xdr:nvCxnSpPr>
      <xdr:spPr>
        <a:xfrm flipV="1">
          <a:off x="7061200" y="7454900"/>
          <a:ext cx="1816100" cy="552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130174</xdr:colOff>
      <xdr:row>40</xdr:row>
      <xdr:rowOff>155575</xdr:rowOff>
    </xdr:from>
    <xdr:to>
      <xdr:col>4</xdr:col>
      <xdr:colOff>95249</xdr:colOff>
      <xdr:row>46</xdr:row>
      <xdr:rowOff>161925</xdr:rowOff>
    </xdr:to>
    <xdr:sp macro="" textlink="">
      <xdr:nvSpPr>
        <xdr:cNvPr id="11" name="Left Brace 10">
          <a:extLst>
            <a:ext uri="{FF2B5EF4-FFF2-40B4-BE49-F238E27FC236}">
              <a16:creationId xmlns:a16="http://schemas.microsoft.com/office/drawing/2014/main" id="{307FE9E9-42AB-4C17-8983-391E527612D7}"/>
            </a:ext>
          </a:extLst>
        </xdr:cNvPr>
        <xdr:cNvSpPr/>
      </xdr:nvSpPr>
      <xdr:spPr>
        <a:xfrm rot="16200000">
          <a:off x="1362074" y="7315200"/>
          <a:ext cx="1149350" cy="2146300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139702</xdr:colOff>
      <xdr:row>40</xdr:row>
      <xdr:rowOff>152400</xdr:rowOff>
    </xdr:from>
    <xdr:to>
      <xdr:col>6</xdr:col>
      <xdr:colOff>450853</xdr:colOff>
      <xdr:row>46</xdr:row>
      <xdr:rowOff>158750</xdr:rowOff>
    </xdr:to>
    <xdr:sp macro="" textlink="">
      <xdr:nvSpPr>
        <xdr:cNvPr id="12" name="Left Brace 11">
          <a:extLst>
            <a:ext uri="{FF2B5EF4-FFF2-40B4-BE49-F238E27FC236}">
              <a16:creationId xmlns:a16="http://schemas.microsoft.com/office/drawing/2014/main" id="{08D1BB83-5DB1-4C19-8F93-7D5D5655B172}"/>
            </a:ext>
          </a:extLst>
        </xdr:cNvPr>
        <xdr:cNvSpPr/>
      </xdr:nvSpPr>
      <xdr:spPr>
        <a:xfrm rot="16200000">
          <a:off x="3297240" y="7567612"/>
          <a:ext cx="1149350" cy="1635126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488954</xdr:colOff>
      <xdr:row>42</xdr:row>
      <xdr:rowOff>6352</xdr:rowOff>
    </xdr:from>
    <xdr:to>
      <xdr:col>9</xdr:col>
      <xdr:colOff>342904</xdr:colOff>
      <xdr:row>48</xdr:row>
      <xdr:rowOff>12699</xdr:rowOff>
    </xdr:to>
    <xdr:sp macro="" textlink="">
      <xdr:nvSpPr>
        <xdr:cNvPr id="13" name="Left Brace 12">
          <a:extLst>
            <a:ext uri="{FF2B5EF4-FFF2-40B4-BE49-F238E27FC236}">
              <a16:creationId xmlns:a16="http://schemas.microsoft.com/office/drawing/2014/main" id="{9E595C8B-9BAA-4156-B3EC-B2ABE3D363D0}"/>
            </a:ext>
          </a:extLst>
        </xdr:cNvPr>
        <xdr:cNvSpPr/>
      </xdr:nvSpPr>
      <xdr:spPr>
        <a:xfrm rot="16200000">
          <a:off x="5303843" y="7469188"/>
          <a:ext cx="1149347" cy="2301875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368301</xdr:colOff>
      <xdr:row>43</xdr:row>
      <xdr:rowOff>76200</xdr:rowOff>
    </xdr:from>
    <xdr:to>
      <xdr:col>12</xdr:col>
      <xdr:colOff>120653</xdr:colOff>
      <xdr:row>49</xdr:row>
      <xdr:rowOff>82547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C2D7EE2F-65EA-4C94-B0EB-9B54F91EE1A2}"/>
            </a:ext>
          </a:extLst>
        </xdr:cNvPr>
        <xdr:cNvSpPr/>
      </xdr:nvSpPr>
      <xdr:spPr>
        <a:xfrm rot="16200000">
          <a:off x="7366003" y="7994648"/>
          <a:ext cx="1149347" cy="1771652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161923</xdr:colOff>
      <xdr:row>50</xdr:row>
      <xdr:rowOff>22224</xdr:rowOff>
    </xdr:from>
    <xdr:to>
      <xdr:col>12</xdr:col>
      <xdr:colOff>114299</xdr:colOff>
      <xdr:row>54</xdr:row>
      <xdr:rowOff>19049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E4422705-0783-4D04-8ECB-DC0E94A5B0FB}"/>
            </a:ext>
          </a:extLst>
        </xdr:cNvPr>
        <xdr:cNvSpPr/>
      </xdr:nvSpPr>
      <xdr:spPr>
        <a:xfrm rot="16200000" flipV="1">
          <a:off x="4478336" y="6002336"/>
          <a:ext cx="758825" cy="79248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127000</xdr:colOff>
      <xdr:row>24</xdr:row>
      <xdr:rowOff>12700</xdr:rowOff>
    </xdr:from>
    <xdr:to>
      <xdr:col>29</xdr:col>
      <xdr:colOff>31750</xdr:colOff>
      <xdr:row>35</xdr:row>
      <xdr:rowOff>57150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7E5CFCB3-14EF-4876-8CA9-8CD65966A433}"/>
            </a:ext>
          </a:extLst>
        </xdr:cNvPr>
        <xdr:cNvCxnSpPr/>
      </xdr:nvCxnSpPr>
      <xdr:spPr>
        <a:xfrm flipV="1">
          <a:off x="12604750" y="4356100"/>
          <a:ext cx="6505575" cy="20732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184150</xdr:colOff>
      <xdr:row>35</xdr:row>
      <xdr:rowOff>44450</xdr:rowOff>
    </xdr:from>
    <xdr:to>
      <xdr:col>29</xdr:col>
      <xdr:colOff>114300</xdr:colOff>
      <xdr:row>43</xdr:row>
      <xdr:rowOff>165100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3DCDA0A2-665E-4CE5-898D-136923F1DF2D}"/>
            </a:ext>
          </a:extLst>
        </xdr:cNvPr>
        <xdr:cNvCxnSpPr/>
      </xdr:nvCxnSpPr>
      <xdr:spPr>
        <a:xfrm>
          <a:off x="12661900" y="6416675"/>
          <a:ext cx="6530975" cy="1568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120650</xdr:colOff>
      <xdr:row>32</xdr:row>
      <xdr:rowOff>50800</xdr:rowOff>
    </xdr:from>
    <xdr:to>
      <xdr:col>29</xdr:col>
      <xdr:colOff>203200</xdr:colOff>
      <xdr:row>39</xdr:row>
      <xdr:rowOff>6350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6A9860FC-E631-4E79-A804-DFB7B2CEBE6F}"/>
            </a:ext>
          </a:extLst>
        </xdr:cNvPr>
        <xdr:cNvCxnSpPr/>
      </xdr:nvCxnSpPr>
      <xdr:spPr>
        <a:xfrm>
          <a:off x="14398625" y="5880100"/>
          <a:ext cx="4883150" cy="12223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57150</xdr:colOff>
      <xdr:row>28</xdr:row>
      <xdr:rowOff>152400</xdr:rowOff>
    </xdr:from>
    <xdr:to>
      <xdr:col>29</xdr:col>
      <xdr:colOff>114300</xdr:colOff>
      <xdr:row>37</xdr:row>
      <xdr:rowOff>95250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149ACBD7-E084-4AA4-BD17-863AD874593A}"/>
            </a:ext>
          </a:extLst>
        </xdr:cNvPr>
        <xdr:cNvCxnSpPr/>
      </xdr:nvCxnSpPr>
      <xdr:spPr>
        <a:xfrm flipV="1">
          <a:off x="14335125" y="5257800"/>
          <a:ext cx="4857750" cy="1571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298450</xdr:colOff>
      <xdr:row>29</xdr:row>
      <xdr:rowOff>142875</xdr:rowOff>
    </xdr:from>
    <xdr:to>
      <xdr:col>29</xdr:col>
      <xdr:colOff>95250</xdr:colOff>
      <xdr:row>34</xdr:row>
      <xdr:rowOff>104775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61DAF0AB-D0DE-419A-87E9-BE5E66123559}"/>
            </a:ext>
          </a:extLst>
        </xdr:cNvPr>
        <xdr:cNvCxnSpPr/>
      </xdr:nvCxnSpPr>
      <xdr:spPr>
        <a:xfrm>
          <a:off x="15776575" y="5429250"/>
          <a:ext cx="3397250" cy="8667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374650</xdr:colOff>
      <xdr:row>34</xdr:row>
      <xdr:rowOff>101600</xdr:rowOff>
    </xdr:from>
    <xdr:to>
      <xdr:col>29</xdr:col>
      <xdr:colOff>171450</xdr:colOff>
      <xdr:row>39</xdr:row>
      <xdr:rowOff>82550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590DFA2C-75EB-4FC8-98DA-64076E22A89C}"/>
            </a:ext>
          </a:extLst>
        </xdr:cNvPr>
        <xdr:cNvCxnSpPr/>
      </xdr:nvCxnSpPr>
      <xdr:spPr>
        <a:xfrm flipV="1">
          <a:off x="15852775" y="6292850"/>
          <a:ext cx="3397250" cy="885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95250</xdr:colOff>
      <xdr:row>27</xdr:row>
      <xdr:rowOff>6350</xdr:rowOff>
    </xdr:from>
    <xdr:to>
      <xdr:col>29</xdr:col>
      <xdr:colOff>101600</xdr:colOff>
      <xdr:row>28</xdr:row>
      <xdr:rowOff>139700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A68E486C-C463-4D08-8C4E-ADBF6FC90EDD}"/>
            </a:ext>
          </a:extLst>
        </xdr:cNvPr>
        <xdr:cNvCxnSpPr/>
      </xdr:nvCxnSpPr>
      <xdr:spPr>
        <a:xfrm>
          <a:off x="17373600" y="4930775"/>
          <a:ext cx="1806575" cy="3143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374650</xdr:colOff>
      <xdr:row>38</xdr:row>
      <xdr:rowOff>177800</xdr:rowOff>
    </xdr:from>
    <xdr:to>
      <xdr:col>29</xdr:col>
      <xdr:colOff>171450</xdr:colOff>
      <xdr:row>41</xdr:row>
      <xdr:rowOff>158750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62B91FCA-F687-4DE4-9211-B7DCD47A5D02}"/>
            </a:ext>
          </a:extLst>
        </xdr:cNvPr>
        <xdr:cNvCxnSpPr/>
      </xdr:nvCxnSpPr>
      <xdr:spPr>
        <a:xfrm flipV="1">
          <a:off x="17653000" y="7092950"/>
          <a:ext cx="1597025" cy="523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130174</xdr:colOff>
      <xdr:row>40</xdr:row>
      <xdr:rowOff>155575</xdr:rowOff>
    </xdr:from>
    <xdr:to>
      <xdr:col>21</xdr:col>
      <xdr:colOff>95249</xdr:colOff>
      <xdr:row>46</xdr:row>
      <xdr:rowOff>161925</xdr:rowOff>
    </xdr:to>
    <xdr:sp macro="" textlink="">
      <xdr:nvSpPr>
        <xdr:cNvPr id="24" name="Left Brace 23">
          <a:extLst>
            <a:ext uri="{FF2B5EF4-FFF2-40B4-BE49-F238E27FC236}">
              <a16:creationId xmlns:a16="http://schemas.microsoft.com/office/drawing/2014/main" id="{4546B3EF-63DE-4987-A757-30F1C9119F61}"/>
            </a:ext>
          </a:extLst>
        </xdr:cNvPr>
        <xdr:cNvSpPr/>
      </xdr:nvSpPr>
      <xdr:spPr>
        <a:xfrm rot="16200000">
          <a:off x="12944474" y="7096125"/>
          <a:ext cx="1092200" cy="1765300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139702</xdr:colOff>
      <xdr:row>40</xdr:row>
      <xdr:rowOff>152400</xdr:rowOff>
    </xdr:from>
    <xdr:to>
      <xdr:col>23</xdr:col>
      <xdr:colOff>450853</xdr:colOff>
      <xdr:row>46</xdr:row>
      <xdr:rowOff>158750</xdr:rowOff>
    </xdr:to>
    <xdr:sp macro="" textlink="">
      <xdr:nvSpPr>
        <xdr:cNvPr id="25" name="Left Brace 24">
          <a:extLst>
            <a:ext uri="{FF2B5EF4-FFF2-40B4-BE49-F238E27FC236}">
              <a16:creationId xmlns:a16="http://schemas.microsoft.com/office/drawing/2014/main" id="{CD3B30EE-62C8-4AA9-A264-84D56FFDAFF5}"/>
            </a:ext>
          </a:extLst>
        </xdr:cNvPr>
        <xdr:cNvSpPr/>
      </xdr:nvSpPr>
      <xdr:spPr>
        <a:xfrm rot="16200000">
          <a:off x="14627228" y="7219949"/>
          <a:ext cx="1092200" cy="1511301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368301</xdr:colOff>
      <xdr:row>43</xdr:row>
      <xdr:rowOff>76200</xdr:rowOff>
    </xdr:from>
    <xdr:to>
      <xdr:col>29</xdr:col>
      <xdr:colOff>120653</xdr:colOff>
      <xdr:row>49</xdr:row>
      <xdr:rowOff>82547</xdr:rowOff>
    </xdr:to>
    <xdr:sp macro="" textlink="">
      <xdr:nvSpPr>
        <xdr:cNvPr id="26" name="Left Brace 25">
          <a:extLst>
            <a:ext uri="{FF2B5EF4-FFF2-40B4-BE49-F238E27FC236}">
              <a16:creationId xmlns:a16="http://schemas.microsoft.com/office/drawing/2014/main" id="{B5A3749F-1DBD-4414-A2E8-85383F3D1FF5}"/>
            </a:ext>
          </a:extLst>
        </xdr:cNvPr>
        <xdr:cNvSpPr/>
      </xdr:nvSpPr>
      <xdr:spPr>
        <a:xfrm rot="16200000">
          <a:off x="17876841" y="7666035"/>
          <a:ext cx="1092197" cy="1552577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161923</xdr:colOff>
      <xdr:row>50</xdr:row>
      <xdr:rowOff>22224</xdr:rowOff>
    </xdr:from>
    <xdr:to>
      <xdr:col>29</xdr:col>
      <xdr:colOff>114299</xdr:colOff>
      <xdr:row>54</xdr:row>
      <xdr:rowOff>19049</xdr:rowOff>
    </xdr:to>
    <xdr:sp macro="" textlink="">
      <xdr:nvSpPr>
        <xdr:cNvPr id="27" name="Left Brace 26">
          <a:extLst>
            <a:ext uri="{FF2B5EF4-FFF2-40B4-BE49-F238E27FC236}">
              <a16:creationId xmlns:a16="http://schemas.microsoft.com/office/drawing/2014/main" id="{233B6821-8B90-46A1-A62F-5063F3959A45}"/>
            </a:ext>
          </a:extLst>
        </xdr:cNvPr>
        <xdr:cNvSpPr/>
      </xdr:nvSpPr>
      <xdr:spPr>
        <a:xfrm rot="16200000" flipV="1">
          <a:off x="15555911" y="6192836"/>
          <a:ext cx="720725" cy="6553201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18</xdr:col>
      <xdr:colOff>127000</xdr:colOff>
      <xdr:row>24</xdr:row>
      <xdr:rowOff>12700</xdr:rowOff>
    </xdr:from>
    <xdr:to>
      <xdr:col>29</xdr:col>
      <xdr:colOff>31750</xdr:colOff>
      <xdr:row>35</xdr:row>
      <xdr:rowOff>57150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6C85BCA5-9054-46A5-AEAF-32C92D725C1F}"/>
            </a:ext>
          </a:extLst>
        </xdr:cNvPr>
        <xdr:cNvCxnSpPr/>
      </xdr:nvCxnSpPr>
      <xdr:spPr>
        <a:xfrm flipV="1">
          <a:off x="12604750" y="4356100"/>
          <a:ext cx="6505575" cy="20732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184150</xdr:colOff>
      <xdr:row>35</xdr:row>
      <xdr:rowOff>44450</xdr:rowOff>
    </xdr:from>
    <xdr:to>
      <xdr:col>29</xdr:col>
      <xdr:colOff>114300</xdr:colOff>
      <xdr:row>43</xdr:row>
      <xdr:rowOff>165100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35E9F55F-63A5-4866-83D9-DA4329D88ACF}"/>
            </a:ext>
          </a:extLst>
        </xdr:cNvPr>
        <xdr:cNvCxnSpPr/>
      </xdr:nvCxnSpPr>
      <xdr:spPr>
        <a:xfrm>
          <a:off x="12661900" y="6416675"/>
          <a:ext cx="6530975" cy="15684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120650</xdr:colOff>
      <xdr:row>32</xdr:row>
      <xdr:rowOff>50800</xdr:rowOff>
    </xdr:from>
    <xdr:to>
      <xdr:col>29</xdr:col>
      <xdr:colOff>203200</xdr:colOff>
      <xdr:row>39</xdr:row>
      <xdr:rowOff>6350</xdr:rowOff>
    </xdr:to>
    <xdr:cxnSp macro="">
      <xdr:nvCxnSpPr>
        <xdr:cNvPr id="30" name="Straight Connector 29">
          <a:extLst>
            <a:ext uri="{FF2B5EF4-FFF2-40B4-BE49-F238E27FC236}">
              <a16:creationId xmlns:a16="http://schemas.microsoft.com/office/drawing/2014/main" id="{0A68AA2D-5CF6-495F-9C42-606E1EE736CA}"/>
            </a:ext>
          </a:extLst>
        </xdr:cNvPr>
        <xdr:cNvCxnSpPr/>
      </xdr:nvCxnSpPr>
      <xdr:spPr>
        <a:xfrm>
          <a:off x="14398625" y="5880100"/>
          <a:ext cx="4883150" cy="12223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57150</xdr:colOff>
      <xdr:row>28</xdr:row>
      <xdr:rowOff>152400</xdr:rowOff>
    </xdr:from>
    <xdr:to>
      <xdr:col>29</xdr:col>
      <xdr:colOff>114300</xdr:colOff>
      <xdr:row>37</xdr:row>
      <xdr:rowOff>95250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6ED18EA3-19AE-470C-972C-0C768B39365B}"/>
            </a:ext>
          </a:extLst>
        </xdr:cNvPr>
        <xdr:cNvCxnSpPr/>
      </xdr:nvCxnSpPr>
      <xdr:spPr>
        <a:xfrm flipV="1">
          <a:off x="14335125" y="5257800"/>
          <a:ext cx="4857750" cy="15716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355600</xdr:colOff>
      <xdr:row>29</xdr:row>
      <xdr:rowOff>152400</xdr:rowOff>
    </xdr:from>
    <xdr:to>
      <xdr:col>29</xdr:col>
      <xdr:colOff>152400</xdr:colOff>
      <xdr:row>34</xdr:row>
      <xdr:rowOff>114300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9C472BD7-B644-47B8-A9D4-1AD420339150}"/>
            </a:ext>
          </a:extLst>
        </xdr:cNvPr>
        <xdr:cNvCxnSpPr/>
      </xdr:nvCxnSpPr>
      <xdr:spPr>
        <a:xfrm>
          <a:off x="15833725" y="5438775"/>
          <a:ext cx="3397250" cy="8667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374650</xdr:colOff>
      <xdr:row>34</xdr:row>
      <xdr:rowOff>101600</xdr:rowOff>
    </xdr:from>
    <xdr:to>
      <xdr:col>29</xdr:col>
      <xdr:colOff>171450</xdr:colOff>
      <xdr:row>39</xdr:row>
      <xdr:rowOff>82550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6F4989AD-4342-4DDB-8685-B536AEFEDE38}"/>
            </a:ext>
          </a:extLst>
        </xdr:cNvPr>
        <xdr:cNvCxnSpPr/>
      </xdr:nvCxnSpPr>
      <xdr:spPr>
        <a:xfrm flipV="1">
          <a:off x="15852775" y="6292850"/>
          <a:ext cx="3397250" cy="885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95250</xdr:colOff>
      <xdr:row>27</xdr:row>
      <xdr:rowOff>6350</xdr:rowOff>
    </xdr:from>
    <xdr:to>
      <xdr:col>29</xdr:col>
      <xdr:colOff>101600</xdr:colOff>
      <xdr:row>28</xdr:row>
      <xdr:rowOff>139700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2151E374-639F-480A-9A07-8C6DDADD474F}"/>
            </a:ext>
          </a:extLst>
        </xdr:cNvPr>
        <xdr:cNvCxnSpPr/>
      </xdr:nvCxnSpPr>
      <xdr:spPr>
        <a:xfrm>
          <a:off x="17373600" y="4930775"/>
          <a:ext cx="1806575" cy="3143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374650</xdr:colOff>
      <xdr:row>38</xdr:row>
      <xdr:rowOff>177800</xdr:rowOff>
    </xdr:from>
    <xdr:to>
      <xdr:col>29</xdr:col>
      <xdr:colOff>171450</xdr:colOff>
      <xdr:row>41</xdr:row>
      <xdr:rowOff>158750</xdr:rowOff>
    </xdr:to>
    <xdr:cxnSp macro="">
      <xdr:nvCxnSpPr>
        <xdr:cNvPr id="35" name="Straight Connector 34">
          <a:extLst>
            <a:ext uri="{FF2B5EF4-FFF2-40B4-BE49-F238E27FC236}">
              <a16:creationId xmlns:a16="http://schemas.microsoft.com/office/drawing/2014/main" id="{61277CDF-B82F-4E99-A297-B665489055E5}"/>
            </a:ext>
          </a:extLst>
        </xdr:cNvPr>
        <xdr:cNvCxnSpPr/>
      </xdr:nvCxnSpPr>
      <xdr:spPr>
        <a:xfrm flipV="1">
          <a:off x="17653000" y="7092950"/>
          <a:ext cx="1597025" cy="5238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130174</xdr:colOff>
      <xdr:row>40</xdr:row>
      <xdr:rowOff>155575</xdr:rowOff>
    </xdr:from>
    <xdr:to>
      <xdr:col>21</xdr:col>
      <xdr:colOff>95249</xdr:colOff>
      <xdr:row>46</xdr:row>
      <xdr:rowOff>161925</xdr:rowOff>
    </xdr:to>
    <xdr:sp macro="" textlink="">
      <xdr:nvSpPr>
        <xdr:cNvPr id="36" name="Left Brace 35">
          <a:extLst>
            <a:ext uri="{FF2B5EF4-FFF2-40B4-BE49-F238E27FC236}">
              <a16:creationId xmlns:a16="http://schemas.microsoft.com/office/drawing/2014/main" id="{7121A3C7-6050-4997-B06C-8A8DE15EDA94}"/>
            </a:ext>
          </a:extLst>
        </xdr:cNvPr>
        <xdr:cNvSpPr/>
      </xdr:nvSpPr>
      <xdr:spPr>
        <a:xfrm rot="16200000">
          <a:off x="12944474" y="7096125"/>
          <a:ext cx="1092200" cy="1765300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139702</xdr:colOff>
      <xdr:row>40</xdr:row>
      <xdr:rowOff>152400</xdr:rowOff>
    </xdr:from>
    <xdr:to>
      <xdr:col>23</xdr:col>
      <xdr:colOff>450853</xdr:colOff>
      <xdr:row>46</xdr:row>
      <xdr:rowOff>158750</xdr:rowOff>
    </xdr:to>
    <xdr:sp macro="" textlink="">
      <xdr:nvSpPr>
        <xdr:cNvPr id="37" name="Left Brace 36">
          <a:extLst>
            <a:ext uri="{FF2B5EF4-FFF2-40B4-BE49-F238E27FC236}">
              <a16:creationId xmlns:a16="http://schemas.microsoft.com/office/drawing/2014/main" id="{9ECF872C-7664-4114-8CEC-10B9F86E2CE3}"/>
            </a:ext>
          </a:extLst>
        </xdr:cNvPr>
        <xdr:cNvSpPr/>
      </xdr:nvSpPr>
      <xdr:spPr>
        <a:xfrm rot="16200000">
          <a:off x="14627228" y="7219949"/>
          <a:ext cx="1092200" cy="1511301"/>
        </a:xfrm>
        <a:prstGeom prst="leftBrace">
          <a:avLst>
            <a:gd name="adj1" fmla="val 0"/>
            <a:gd name="adj2" fmla="val 5000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838200</xdr:colOff>
      <xdr:row>6</xdr:row>
      <xdr:rowOff>19050</xdr:rowOff>
    </xdr:from>
    <xdr:to>
      <xdr:col>7</xdr:col>
      <xdr:colOff>200025</xdr:colOff>
      <xdr:row>11</xdr:row>
      <xdr:rowOff>200025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E7D2FEB4-EE85-4008-99A7-FC0DFE608B44}"/>
            </a:ext>
          </a:extLst>
        </xdr:cNvPr>
        <xdr:cNvCxnSpPr/>
      </xdr:nvCxnSpPr>
      <xdr:spPr>
        <a:xfrm flipV="1">
          <a:off x="4733925" y="1409700"/>
          <a:ext cx="3276600" cy="18478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885825</xdr:colOff>
      <xdr:row>11</xdr:row>
      <xdr:rowOff>228600</xdr:rowOff>
    </xdr:from>
    <xdr:to>
      <xdr:col>7</xdr:col>
      <xdr:colOff>142875</xdr:colOff>
      <xdr:row>15</xdr:row>
      <xdr:rowOff>104775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2C5877EB-1E1E-4760-B371-6DB26D8F89B0}"/>
            </a:ext>
          </a:extLst>
        </xdr:cNvPr>
        <xdr:cNvCxnSpPr/>
      </xdr:nvCxnSpPr>
      <xdr:spPr>
        <a:xfrm>
          <a:off x="4781550" y="3286125"/>
          <a:ext cx="3171825" cy="126682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0</xdr:col>
      <xdr:colOff>552450</xdr:colOff>
      <xdr:row>20</xdr:row>
      <xdr:rowOff>19051</xdr:rowOff>
    </xdr:from>
    <xdr:ext cx="11858625" cy="104775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FAC31EB1-F6E3-41BF-89EF-70FBB60A7A41}"/>
            </a:ext>
          </a:extLst>
        </xdr:cNvPr>
        <xdr:cNvSpPr txBox="1"/>
      </xdr:nvSpPr>
      <xdr:spPr>
        <a:xfrm>
          <a:off x="552450" y="4686301"/>
          <a:ext cx="11858625" cy="10477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15875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ctr"/>
          <a:r>
            <a:rPr lang="en-US" sz="1800" b="1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Our strategy for calculating the option’s value at t=0 is to assume that there are no arbitrage opportunities and to build </a:t>
          </a:r>
          <a:r>
            <a:rPr lang="en-US" sz="1800" b="1" i="1"/>
            <a:t> </a:t>
          </a:r>
          <a:r>
            <a:rPr lang="en-US" sz="1800" b="1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 portfolio using the underlying stock and the option such that the value of the portfolio at expiration is certain and the SAME </a:t>
          </a:r>
          <a:r>
            <a:rPr lang="en-US" sz="1800" b="1" i="1"/>
            <a:t> </a:t>
          </a:r>
          <a:r>
            <a:rPr lang="en-US" sz="1800" b="1" i="1" u="none" strike="noStrik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at the up node and at the down node.We take a long(buy) position in the stock and sell the call. </a:t>
          </a:r>
          <a:r>
            <a:rPr lang="en-US" sz="1800" b="1" i="1"/>
            <a:t> </a:t>
          </a:r>
        </a:p>
      </xdr:txBody>
    </xdr:sp>
    <xdr:clientData/>
  </xdr:oneCellAnchor>
  <xdr:twoCellAnchor>
    <xdr:from>
      <xdr:col>19</xdr:col>
      <xdr:colOff>2202656</xdr:colOff>
      <xdr:row>20</xdr:row>
      <xdr:rowOff>185738</xdr:rowOff>
    </xdr:from>
    <xdr:to>
      <xdr:col>22</xdr:col>
      <xdr:colOff>819150</xdr:colOff>
      <xdr:row>26</xdr:row>
      <xdr:rowOff>59531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7CCDFCAB-3D0C-4799-B781-6A6AE754EFA5}"/>
            </a:ext>
          </a:extLst>
        </xdr:cNvPr>
        <xdr:cNvCxnSpPr/>
      </xdr:nvCxnSpPr>
      <xdr:spPr>
        <a:xfrm flipV="1">
          <a:off x="26074687" y="5662613"/>
          <a:ext cx="3105151" cy="148113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2238375</xdr:colOff>
      <xdr:row>26</xdr:row>
      <xdr:rowOff>95250</xdr:rowOff>
    </xdr:from>
    <xdr:to>
      <xdr:col>22</xdr:col>
      <xdr:colOff>845344</xdr:colOff>
      <xdr:row>30</xdr:row>
      <xdr:rowOff>83343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655E2D79-8F38-496F-80EB-46795A0118A3}"/>
            </a:ext>
          </a:extLst>
        </xdr:cNvPr>
        <xdr:cNvCxnSpPr/>
      </xdr:nvCxnSpPr>
      <xdr:spPr>
        <a:xfrm>
          <a:off x="26110406" y="7179469"/>
          <a:ext cx="3095626" cy="10715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734787</xdr:colOff>
      <xdr:row>31</xdr:row>
      <xdr:rowOff>163286</xdr:rowOff>
    </xdr:from>
    <xdr:to>
      <xdr:col>10</xdr:col>
      <xdr:colOff>748393</xdr:colOff>
      <xdr:row>39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639F8660-B19A-4792-8EA9-0F9495207B47}"/>
            </a:ext>
          </a:extLst>
        </xdr:cNvPr>
        <xdr:cNvCxnSpPr/>
      </xdr:nvCxnSpPr>
      <xdr:spPr>
        <a:xfrm>
          <a:off x="15035894" y="8341179"/>
          <a:ext cx="13606" cy="2000250"/>
        </a:xfrm>
        <a:prstGeom prst="straightConnector1">
          <a:avLst/>
        </a:prstGeom>
        <a:ln w="28575">
          <a:solidFill>
            <a:srgbClr val="FF0000"/>
          </a:solidFill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938893</xdr:colOff>
      <xdr:row>2</xdr:row>
      <xdr:rowOff>40822</xdr:rowOff>
    </xdr:from>
    <xdr:to>
      <xdr:col>25</xdr:col>
      <xdr:colOff>952500</xdr:colOff>
      <xdr:row>6</xdr:row>
      <xdr:rowOff>176892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BCE82666-8B8C-4D4A-8A9D-D1B7F9FD1969}"/>
            </a:ext>
          </a:extLst>
        </xdr:cNvPr>
        <xdr:cNvCxnSpPr/>
      </xdr:nvCxnSpPr>
      <xdr:spPr>
        <a:xfrm flipV="1">
          <a:off x="37991143" y="639536"/>
          <a:ext cx="13607" cy="1211035"/>
        </a:xfrm>
        <a:prstGeom prst="straightConnector1">
          <a:avLst/>
        </a:prstGeom>
        <a:ln w="2222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544286</xdr:colOff>
      <xdr:row>13</xdr:row>
      <xdr:rowOff>0</xdr:rowOff>
    </xdr:from>
    <xdr:to>
      <xdr:col>25</xdr:col>
      <xdr:colOff>571501</xdr:colOff>
      <xdr:row>16</xdr:row>
      <xdr:rowOff>163288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EBB9936B-1588-46E0-B620-3DDDF257715F}"/>
            </a:ext>
          </a:extLst>
        </xdr:cNvPr>
        <xdr:cNvCxnSpPr/>
      </xdr:nvCxnSpPr>
      <xdr:spPr>
        <a:xfrm flipH="1" flipV="1">
          <a:off x="37596536" y="3524250"/>
          <a:ext cx="27215" cy="938895"/>
        </a:xfrm>
        <a:prstGeom prst="straightConnector1">
          <a:avLst/>
        </a:prstGeom>
        <a:ln w="2222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476250</xdr:colOff>
      <xdr:row>12</xdr:row>
      <xdr:rowOff>231322</xdr:rowOff>
    </xdr:from>
    <xdr:to>
      <xdr:col>26</xdr:col>
      <xdr:colOff>503465</xdr:colOff>
      <xdr:row>16</xdr:row>
      <xdr:rowOff>136074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329B37D3-88DF-499E-9492-73B1688C225F}"/>
            </a:ext>
          </a:extLst>
        </xdr:cNvPr>
        <xdr:cNvCxnSpPr/>
      </xdr:nvCxnSpPr>
      <xdr:spPr>
        <a:xfrm flipH="1" flipV="1">
          <a:off x="38753143" y="3497036"/>
          <a:ext cx="27215" cy="938895"/>
        </a:xfrm>
        <a:prstGeom prst="straightConnector1">
          <a:avLst/>
        </a:prstGeom>
        <a:ln w="22225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884464</xdr:colOff>
      <xdr:row>29</xdr:row>
      <xdr:rowOff>68036</xdr:rowOff>
    </xdr:from>
    <xdr:to>
      <xdr:col>26</xdr:col>
      <xdr:colOff>884464</xdr:colOff>
      <xdr:row>31</xdr:row>
      <xdr:rowOff>190500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A0E56D24-05D6-4E2F-AE19-353CDC25D31C}"/>
            </a:ext>
          </a:extLst>
        </xdr:cNvPr>
        <xdr:cNvCxnSpPr/>
      </xdr:nvCxnSpPr>
      <xdr:spPr>
        <a:xfrm flipV="1">
          <a:off x="39161357" y="7810500"/>
          <a:ext cx="0" cy="639536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775607</xdr:colOff>
      <xdr:row>20</xdr:row>
      <xdr:rowOff>27216</xdr:rowOff>
    </xdr:from>
    <xdr:to>
      <xdr:col>26</xdr:col>
      <xdr:colOff>789214</xdr:colOff>
      <xdr:row>21</xdr:row>
      <xdr:rowOff>13607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F4BDE310-676B-4E5E-9402-71C74CEF330D}"/>
            </a:ext>
          </a:extLst>
        </xdr:cNvPr>
        <xdr:cNvCxnSpPr/>
      </xdr:nvCxnSpPr>
      <xdr:spPr>
        <a:xfrm flipV="1">
          <a:off x="39052500" y="5402037"/>
          <a:ext cx="13607" cy="285749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0A429-E72A-46F1-9C36-A792238B40A8}">
  <sheetPr codeName="Sheet3"/>
  <dimension ref="A23:AE56"/>
  <sheetViews>
    <sheetView showGridLines="0" tabSelected="1" zoomScale="70" zoomScaleNormal="70" workbookViewId="0">
      <selection activeCell="F66" sqref="F66"/>
    </sheetView>
  </sheetViews>
  <sheetFormatPr defaultColWidth="4.5" defaultRowHeight="14" x14ac:dyDescent="0.3"/>
  <cols>
    <col min="1" max="1" width="5.5" style="56" bestFit="1" customWidth="1"/>
    <col min="2" max="2" width="4.5" style="56"/>
    <col min="3" max="3" width="7.34765625" style="56" customWidth="1"/>
    <col min="4" max="4" width="4.5" style="56"/>
    <col min="5" max="5" width="5.3984375" style="56" bestFit="1" customWidth="1"/>
    <col min="6" max="6" width="4.5" style="56"/>
    <col min="7" max="7" width="8.546875" style="56" customWidth="1"/>
    <col min="8" max="8" width="5.296875" style="56" customWidth="1"/>
    <col min="9" max="9" width="4.5" style="56"/>
    <col min="10" max="10" width="6.1484375" style="56" customWidth="1"/>
    <col min="11" max="12" width="4.5" style="56"/>
    <col min="13" max="13" width="5.796875" style="56" customWidth="1"/>
    <col min="14" max="19" width="4.5" style="56"/>
    <col min="20" max="20" width="7.296875" style="56" bestFit="1" customWidth="1"/>
    <col min="21" max="16384" width="4.5" style="56"/>
  </cols>
  <sheetData>
    <row r="23" spans="2:31" x14ac:dyDescent="0.3">
      <c r="B23" s="53" t="s">
        <v>16</v>
      </c>
      <c r="C23" s="54">
        <v>4</v>
      </c>
      <c r="D23" s="55" t="s">
        <v>17</v>
      </c>
      <c r="E23" s="55"/>
      <c r="F23" s="55"/>
      <c r="G23" s="55"/>
      <c r="S23" s="53" t="s">
        <v>16</v>
      </c>
      <c r="T23" s="54">
        <v>4</v>
      </c>
      <c r="U23" s="55" t="s">
        <v>17</v>
      </c>
      <c r="V23" s="55"/>
      <c r="W23" s="55"/>
      <c r="X23" s="55"/>
    </row>
    <row r="24" spans="2:31" x14ac:dyDescent="0.3">
      <c r="B24" s="53" t="s">
        <v>10</v>
      </c>
      <c r="C24" s="57">
        <v>1.1000000000000001</v>
      </c>
      <c r="D24" s="55" t="s">
        <v>18</v>
      </c>
      <c r="E24" s="55"/>
      <c r="F24" s="55"/>
      <c r="G24" s="55"/>
      <c r="M24" s="58"/>
      <c r="S24" s="53" t="s">
        <v>10</v>
      </c>
      <c r="T24" s="57">
        <v>1.05</v>
      </c>
      <c r="U24" s="55" t="s">
        <v>18</v>
      </c>
      <c r="V24" s="55"/>
      <c r="W24" s="55"/>
      <c r="X24" s="55"/>
      <c r="AD24" s="58"/>
    </row>
    <row r="25" spans="2:31" x14ac:dyDescent="0.3">
      <c r="B25" s="53" t="s">
        <v>11</v>
      </c>
      <c r="C25" s="57">
        <v>0.9</v>
      </c>
      <c r="D25" s="55" t="s">
        <v>12</v>
      </c>
      <c r="E25" s="55"/>
      <c r="F25" s="55"/>
      <c r="G25" s="55"/>
      <c r="M25" s="59">
        <f>J27*C24</f>
        <v>29.282000000000007</v>
      </c>
      <c r="N25" s="60" t="str">
        <f ca="1">_xlfn.FORMULATEXT(M25)</f>
        <v>=J27*C24</v>
      </c>
      <c r="S25" s="53" t="s">
        <v>11</v>
      </c>
      <c r="T25" s="57">
        <v>0.95</v>
      </c>
      <c r="U25" s="55" t="s">
        <v>12</v>
      </c>
      <c r="V25" s="55"/>
      <c r="W25" s="55"/>
      <c r="X25" s="55"/>
      <c r="AD25" s="59">
        <f>AA27*T24</f>
        <v>24.310125000000003</v>
      </c>
      <c r="AE25" s="60" t="str">
        <f ca="1">_xlfn.FORMULATEXT(AD25)</f>
        <v>=AA27*T24</v>
      </c>
    </row>
    <row r="26" spans="2:31" ht="16" x14ac:dyDescent="0.4">
      <c r="B26" s="53" t="s">
        <v>128</v>
      </c>
      <c r="C26" s="61">
        <v>20</v>
      </c>
      <c r="D26" s="55"/>
      <c r="E26" s="55"/>
      <c r="F26" s="55"/>
      <c r="G26" s="55"/>
      <c r="S26" s="53" t="s">
        <v>128</v>
      </c>
      <c r="T26" s="61">
        <v>20</v>
      </c>
      <c r="U26" s="55"/>
      <c r="V26" s="55"/>
      <c r="W26" s="55"/>
      <c r="X26" s="55"/>
    </row>
    <row r="27" spans="2:31" x14ac:dyDescent="0.3">
      <c r="B27" s="53" t="s">
        <v>19</v>
      </c>
      <c r="C27" s="53">
        <f>12/12</f>
        <v>1</v>
      </c>
      <c r="D27" s="62" t="str">
        <f ca="1">_xlfn.FORMULATEXT(C27)</f>
        <v>=12/12</v>
      </c>
      <c r="E27" s="55"/>
      <c r="F27" s="55"/>
      <c r="G27" s="55"/>
      <c r="J27" s="59">
        <f>G30*C24</f>
        <v>26.620000000000005</v>
      </c>
      <c r="K27" s="60" t="str">
        <f ca="1">_xlfn.FORMULATEXT(J27)</f>
        <v>=G30*C24</v>
      </c>
      <c r="S27" s="53" t="s">
        <v>19</v>
      </c>
      <c r="T27" s="53">
        <f>4/12</f>
        <v>0.33333333333333331</v>
      </c>
      <c r="U27" s="62" t="str">
        <f ca="1">_xlfn.FORMULATEXT(T27)</f>
        <v>=4/12</v>
      </c>
      <c r="V27" s="55"/>
      <c r="W27" s="55"/>
      <c r="X27" s="55"/>
      <c r="AA27" s="59">
        <f>X30*T24</f>
        <v>23.152500000000003</v>
      </c>
      <c r="AB27" s="60" t="str">
        <f ca="1">_xlfn.FORMULATEXT(AA27)</f>
        <v>=X30*T24</v>
      </c>
    </row>
    <row r="28" spans="2:31" x14ac:dyDescent="0.3">
      <c r="B28" s="53" t="s">
        <v>20</v>
      </c>
      <c r="C28" s="53">
        <f>C27/C23</f>
        <v>0.25</v>
      </c>
      <c r="D28" s="62" t="str">
        <f ca="1">_xlfn.FORMULATEXT(C28)</f>
        <v>=C27/C23</v>
      </c>
      <c r="E28" s="55"/>
      <c r="F28" s="55"/>
      <c r="G28" s="55"/>
      <c r="S28" s="53" t="s">
        <v>20</v>
      </c>
      <c r="T28" s="53">
        <f>T27/T23</f>
        <v>8.3333333333333329E-2</v>
      </c>
      <c r="U28" s="62" t="str">
        <f ca="1">_xlfn.FORMULATEXT(T28)</f>
        <v>=T27/T23</v>
      </c>
      <c r="V28" s="55"/>
      <c r="W28" s="55"/>
      <c r="X28" s="55"/>
    </row>
    <row r="30" spans="2:31" x14ac:dyDescent="0.3">
      <c r="G30" s="59">
        <f>E32*C24</f>
        <v>24.200000000000003</v>
      </c>
      <c r="H30" s="60" t="str">
        <f ca="1">_xlfn.FORMULATEXT(G30)</f>
        <v>=E32*C24</v>
      </c>
      <c r="M30" s="59">
        <f>J27*C25</f>
        <v>23.958000000000006</v>
      </c>
      <c r="N30" s="60" t="str">
        <f ca="1">_xlfn.FORMULATEXT(M30)</f>
        <v>=J27*C25</v>
      </c>
      <c r="X30" s="59">
        <f>V32*T24</f>
        <v>22.05</v>
      </c>
      <c r="Y30" s="60" t="str">
        <f ca="1">_xlfn.FORMULATEXT(X30)</f>
        <v>=V32*T24</v>
      </c>
      <c r="AD30" s="59">
        <f>AA27*T25</f>
        <v>21.994875000000004</v>
      </c>
      <c r="AE30" s="60" t="str">
        <f ca="1">_xlfn.FORMULATEXT(AD30)</f>
        <v>=AA27*T25</v>
      </c>
    </row>
    <row r="32" spans="2:31" x14ac:dyDescent="0.3">
      <c r="E32" s="59">
        <f>A36*C24</f>
        <v>22</v>
      </c>
      <c r="F32" s="60" t="str">
        <f ca="1">_xlfn.FORMULATEXT(E32)</f>
        <v>=A36*C24</v>
      </c>
      <c r="V32" s="59">
        <f>R36*$T$24</f>
        <v>21</v>
      </c>
      <c r="W32" s="60" t="str">
        <f ca="1">_xlfn.FORMULATEXT(V32)</f>
        <v>=R36*$T$24</v>
      </c>
    </row>
    <row r="33" spans="1:31" x14ac:dyDescent="0.3">
      <c r="J33" s="59">
        <f>G30*C25</f>
        <v>21.780000000000005</v>
      </c>
      <c r="K33" s="60" t="str">
        <f ca="1">_xlfn.FORMULATEXT(J33)</f>
        <v>=G30*C25</v>
      </c>
      <c r="AA33" s="59">
        <f>X30*T25</f>
        <v>20.947499999999998</v>
      </c>
      <c r="AB33" s="60" t="str">
        <f ca="1">_xlfn.FORMULATEXT(AA33)</f>
        <v>=X30*T25</v>
      </c>
    </row>
    <row r="35" spans="1:31" x14ac:dyDescent="0.3">
      <c r="H35" s="63">
        <f>E32*C25</f>
        <v>19.8</v>
      </c>
      <c r="I35" s="60" t="str">
        <f ca="1">_xlfn.FORMULATEXT(H35)</f>
        <v>=E32*C25</v>
      </c>
      <c r="Y35" s="63">
        <f>V32*T25</f>
        <v>19.95</v>
      </c>
      <c r="Z35" s="60" t="str">
        <f ca="1">_xlfn.FORMULATEXT(Y35)</f>
        <v>=V32*T25</v>
      </c>
    </row>
    <row r="36" spans="1:31" x14ac:dyDescent="0.3">
      <c r="A36" s="59">
        <f>C26</f>
        <v>20</v>
      </c>
      <c r="B36" s="60" t="str">
        <f ca="1">_xlfn.FORMULATEXT(A36)</f>
        <v>=C26</v>
      </c>
      <c r="H36" s="64">
        <f>E39*C24</f>
        <v>19.8</v>
      </c>
      <c r="I36" s="60" t="str">
        <f ca="1">_xlfn.FORMULATEXT(H36)</f>
        <v>=E39*C24</v>
      </c>
      <c r="M36" s="59">
        <f>J33*C25</f>
        <v>19.602000000000004</v>
      </c>
      <c r="N36" s="60" t="str">
        <f ca="1">_xlfn.FORMULATEXT(M36)</f>
        <v>=J33*C25</v>
      </c>
      <c r="R36" s="59">
        <f>T26</f>
        <v>20</v>
      </c>
      <c r="S36" s="60" t="str">
        <f ca="1">_xlfn.FORMULATEXT(R36)</f>
        <v>=T26</v>
      </c>
      <c r="Y36" s="58">
        <f>V39*T24</f>
        <v>19.95</v>
      </c>
      <c r="Z36" s="60" t="str">
        <f ca="1">_xlfn.FORMULATEXT(Y36)</f>
        <v>=V39*T24</v>
      </c>
      <c r="AD36" s="59">
        <f>AA33*T25</f>
        <v>19.900124999999996</v>
      </c>
      <c r="AE36" s="60" t="str">
        <f ca="1">_xlfn.FORMULATEXT(AD36)</f>
        <v>=AA33*T25</v>
      </c>
    </row>
    <row r="38" spans="1:31" x14ac:dyDescent="0.3">
      <c r="J38" s="59">
        <f>H35*C25</f>
        <v>17.82</v>
      </c>
      <c r="K38" s="60" t="str">
        <f ca="1">_xlfn.FORMULATEXT(J38)</f>
        <v>=H35*C25</v>
      </c>
      <c r="AA38" s="59">
        <f>Y35*T25</f>
        <v>18.952499999999997</v>
      </c>
      <c r="AB38" s="60" t="str">
        <f ca="1">_xlfn.FORMULATEXT(AA38)</f>
        <v>=Y35*T25</v>
      </c>
    </row>
    <row r="39" spans="1:31" x14ac:dyDescent="0.3">
      <c r="E39" s="59">
        <f>A36*C25</f>
        <v>18</v>
      </c>
      <c r="F39" s="60" t="str">
        <f ca="1">_xlfn.FORMULATEXT(E39)</f>
        <v>=A36*C25</v>
      </c>
      <c r="V39" s="59">
        <f>R36*$T$25</f>
        <v>19</v>
      </c>
      <c r="W39" s="60" t="str">
        <f ca="1">_xlfn.FORMULATEXT(V39)</f>
        <v>=R36*$T$25</v>
      </c>
    </row>
    <row r="40" spans="1:31" x14ac:dyDescent="0.3">
      <c r="M40" s="59">
        <f>J38*C25</f>
        <v>16.038</v>
      </c>
      <c r="N40" s="60" t="str">
        <f ca="1">_xlfn.FORMULATEXT(M40)</f>
        <v>=J38*C25</v>
      </c>
      <c r="AD40" s="59">
        <f>AA38*T25</f>
        <v>18.004874999999995</v>
      </c>
      <c r="AE40" s="60" t="str">
        <f ca="1">_xlfn.FORMULATEXT(AD40)</f>
        <v>=AA38*T25</v>
      </c>
    </row>
    <row r="41" spans="1:31" x14ac:dyDescent="0.3">
      <c r="G41" s="59">
        <f>E39*C25</f>
        <v>16.2</v>
      </c>
      <c r="H41" s="60" t="str">
        <f ca="1">_xlfn.FORMULATEXT(G41)</f>
        <v>=E39*C25</v>
      </c>
      <c r="X41" s="59">
        <f>V39*T25</f>
        <v>18.05</v>
      </c>
      <c r="Y41" s="60" t="str">
        <f ca="1">_xlfn.FORMULATEXT(X41)</f>
        <v>=V39*T25</v>
      </c>
    </row>
    <row r="43" spans="1:31" x14ac:dyDescent="0.3">
      <c r="J43" s="59">
        <f>G41*C25</f>
        <v>14.58</v>
      </c>
      <c r="K43" s="60" t="str">
        <f ca="1">_xlfn.FORMULATEXT(J43)</f>
        <v>=G41*C25</v>
      </c>
      <c r="AA43" s="59">
        <f>X41*T25</f>
        <v>17.147500000000001</v>
      </c>
      <c r="AB43" s="60" t="str">
        <f ca="1">_xlfn.FORMULATEXT(AA43)</f>
        <v>=X41*T25</v>
      </c>
    </row>
    <row r="45" spans="1:31" x14ac:dyDescent="0.3">
      <c r="M45" s="59">
        <f>J43*C25</f>
        <v>13.122</v>
      </c>
      <c r="N45" s="60" t="str">
        <f ca="1">_xlfn.FORMULATEXT(M45)</f>
        <v>=J43*C25</v>
      </c>
      <c r="AD45" s="59">
        <f>AA43*T25</f>
        <v>16.290125</v>
      </c>
      <c r="AE45" s="60" t="str">
        <f ca="1">_xlfn.FORMULATEXT(AD45)</f>
        <v>=AA43*T25</v>
      </c>
    </row>
    <row r="48" spans="1:31" x14ac:dyDescent="0.3">
      <c r="C48" s="56" t="s">
        <v>21</v>
      </c>
      <c r="F48" s="56" t="s">
        <v>21</v>
      </c>
      <c r="T48" s="56" t="s">
        <v>139</v>
      </c>
      <c r="W48" s="56" t="s">
        <v>139</v>
      </c>
    </row>
    <row r="49" spans="7:29" x14ac:dyDescent="0.3">
      <c r="I49" s="56" t="s">
        <v>21</v>
      </c>
      <c r="Z49" s="56" t="s">
        <v>139</v>
      </c>
    </row>
    <row r="50" spans="7:29" x14ac:dyDescent="0.3">
      <c r="L50" s="56" t="s">
        <v>21</v>
      </c>
      <c r="AC50" s="56" t="s">
        <v>139</v>
      </c>
    </row>
    <row r="56" spans="7:29" x14ac:dyDescent="0.3">
      <c r="G56" s="56" t="s">
        <v>22</v>
      </c>
      <c r="X56" s="56" t="s">
        <v>22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340BE-1E99-4642-8E91-324BDF20E4A6}">
  <sheetPr codeName="Sheet4"/>
  <dimension ref="A1:Y52"/>
  <sheetViews>
    <sheetView showGridLines="0" zoomScale="50" zoomScaleNormal="50" workbookViewId="0">
      <selection activeCell="B8" sqref="B8"/>
    </sheetView>
  </sheetViews>
  <sheetFormatPr defaultColWidth="9.1484375" defaultRowHeight="20" x14ac:dyDescent="0.4"/>
  <cols>
    <col min="1" max="1" width="19.6484375" style="1" customWidth="1"/>
    <col min="2" max="2" width="9.3984375" style="1" bestFit="1" customWidth="1"/>
    <col min="3" max="3" width="35.69921875" style="1" customWidth="1"/>
    <col min="4" max="4" width="4.84765625" style="1" customWidth="1"/>
    <col min="5" max="5" width="8.296875" style="1" customWidth="1"/>
    <col min="6" max="6" width="20.296875" style="1" customWidth="1"/>
    <col min="7" max="7" width="8.69921875" style="1" customWidth="1"/>
    <col min="8" max="8" width="3.546875" style="1" customWidth="1"/>
    <col min="9" max="9" width="9.1484375" style="1"/>
    <col min="10" max="10" width="18.69921875" style="1" bestFit="1" customWidth="1"/>
    <col min="11" max="11" width="2.796875" style="21" customWidth="1"/>
    <col min="12" max="12" width="4.3984375" style="1" customWidth="1"/>
    <col min="13" max="13" width="9.8984375" style="1" customWidth="1"/>
    <col min="14" max="14" width="9.796875" style="1" customWidth="1"/>
    <col min="15" max="15" width="22.796875" style="1" customWidth="1"/>
    <col min="16" max="17" width="9.1484375" style="1"/>
    <col min="18" max="18" width="3.3984375" style="21" customWidth="1"/>
    <col min="19" max="19" width="9.1484375" style="1"/>
    <col min="20" max="20" width="17.046875" style="1" customWidth="1"/>
    <col min="21" max="21" width="7.5" style="1" customWidth="1"/>
    <col min="22" max="16384" width="9.1484375" style="1"/>
  </cols>
  <sheetData>
    <row r="1" spans="1:22" ht="25" x14ac:dyDescent="0.5">
      <c r="A1" s="18" t="s">
        <v>45</v>
      </c>
    </row>
    <row r="2" spans="1:22" x14ac:dyDescent="0.4">
      <c r="A2" s="15" t="s">
        <v>46</v>
      </c>
      <c r="M2" s="30" t="s">
        <v>47</v>
      </c>
      <c r="T2" s="30" t="s">
        <v>67</v>
      </c>
    </row>
    <row r="4" spans="1:22" x14ac:dyDescent="0.4">
      <c r="A4" s="16" t="s">
        <v>23</v>
      </c>
      <c r="B4" s="17" t="s">
        <v>24</v>
      </c>
      <c r="C4" s="17" t="s">
        <v>69</v>
      </c>
      <c r="F4" s="67" t="s">
        <v>140</v>
      </c>
      <c r="G4" s="67"/>
      <c r="H4" s="67"/>
      <c r="I4" s="67"/>
      <c r="M4" s="11" t="s">
        <v>48</v>
      </c>
      <c r="N4" s="1" t="s">
        <v>50</v>
      </c>
      <c r="T4" s="1" t="s">
        <v>66</v>
      </c>
    </row>
    <row r="5" spans="1:22" ht="24" x14ac:dyDescent="0.6">
      <c r="A5" s="1" t="s">
        <v>8</v>
      </c>
      <c r="B5" s="2">
        <v>94.27</v>
      </c>
      <c r="M5" s="11" t="s">
        <v>49</v>
      </c>
      <c r="N5" s="1" t="s">
        <v>51</v>
      </c>
    </row>
    <row r="6" spans="1:22" ht="24" x14ac:dyDescent="0.6">
      <c r="A6" s="1" t="s">
        <v>4</v>
      </c>
      <c r="B6" s="3">
        <v>44202</v>
      </c>
      <c r="H6" s="4" t="s">
        <v>0</v>
      </c>
      <c r="I6" s="9">
        <v>110</v>
      </c>
      <c r="M6" s="11"/>
      <c r="T6" s="11" t="s">
        <v>8</v>
      </c>
      <c r="U6" s="15">
        <v>94.27</v>
      </c>
    </row>
    <row r="7" spans="1:22" ht="23.5" x14ac:dyDescent="0.45">
      <c r="A7" s="1" t="s">
        <v>5</v>
      </c>
      <c r="B7" s="3">
        <v>44302</v>
      </c>
      <c r="H7" s="4" t="s">
        <v>1</v>
      </c>
      <c r="I7" s="10">
        <f>IF(I6&gt;$B$9,I6-$B$9,0)</f>
        <v>10</v>
      </c>
      <c r="J7" s="5" t="str">
        <f t="shared" ref="J7" ca="1" si="0">_xlfn.FORMULATEXT(I7)</f>
        <v>=IF(I6&gt;$B$9,I6-$B$9,0)</v>
      </c>
      <c r="K7" s="22"/>
      <c r="L7" s="1" t="s">
        <v>52</v>
      </c>
      <c r="M7" s="24" t="s">
        <v>53</v>
      </c>
      <c r="T7" s="1" t="s">
        <v>9</v>
      </c>
      <c r="U7" s="8">
        <v>0.03</v>
      </c>
    </row>
    <row r="8" spans="1:22" ht="21" x14ac:dyDescent="0.5">
      <c r="A8" s="1" t="s">
        <v>7</v>
      </c>
      <c r="B8" s="69">
        <f>YEARFRAC(B6,B7,1)</f>
        <v>0.27397260273972601</v>
      </c>
      <c r="C8" s="5" t="str">
        <f ca="1">_xlfn.FORMULATEXT(B8)</f>
        <v>=YEARFRAC(B6,B7,1)</v>
      </c>
      <c r="M8" s="11"/>
      <c r="T8" s="1" t="s">
        <v>64</v>
      </c>
      <c r="U8" s="8">
        <v>0.46289999999999998</v>
      </c>
    </row>
    <row r="9" spans="1:22" ht="20.5" x14ac:dyDescent="0.45">
      <c r="A9" s="1" t="s">
        <v>6</v>
      </c>
      <c r="B9" s="2">
        <v>100</v>
      </c>
      <c r="M9" s="11" t="s">
        <v>48</v>
      </c>
      <c r="N9" s="26">
        <f>(EXP(B10*B13)-B16)/(B15-B16)</f>
        <v>0.5016004953086779</v>
      </c>
      <c r="O9" s="5" t="str">
        <f ca="1">_xlfn.FORMULATEXT(N9)</f>
        <v>=(EXP(B10*B13)-B16)/(B15-B16)</v>
      </c>
      <c r="T9" s="1" t="s">
        <v>65</v>
      </c>
      <c r="U9" s="14">
        <f>B13</f>
        <v>0.27397260273972601</v>
      </c>
      <c r="V9" s="5" t="str">
        <f t="shared" ref="V9:V11" ca="1" si="1">_xlfn.FORMULATEXT(U9)</f>
        <v>=B13</v>
      </c>
    </row>
    <row r="10" spans="1:22" ht="21" x14ac:dyDescent="0.5">
      <c r="A10" s="1" t="s">
        <v>9</v>
      </c>
      <c r="B10" s="8">
        <v>0.03</v>
      </c>
      <c r="M10" s="11" t="s">
        <v>54</v>
      </c>
      <c r="N10" s="27">
        <f>1-N9</f>
        <v>0.4983995046913221</v>
      </c>
      <c r="O10" s="5" t="str">
        <f ca="1">_xlfn.FORMULATEXT(N10)</f>
        <v>=1-N9</v>
      </c>
      <c r="T10" s="11" t="s">
        <v>63</v>
      </c>
      <c r="U10" s="26">
        <f>EXP(U8*SQRT(U9))</f>
        <v>1.2741673848050907</v>
      </c>
      <c r="V10" s="5" t="str">
        <f t="shared" ca="1" si="1"/>
        <v>=EXP(U8*SQRT(U9))</v>
      </c>
    </row>
    <row r="11" spans="1:22" ht="21" x14ac:dyDescent="0.5">
      <c r="A11" s="1" t="s">
        <v>64</v>
      </c>
      <c r="B11" s="8">
        <v>0.46289999999999998</v>
      </c>
      <c r="T11" s="11" t="s">
        <v>62</v>
      </c>
      <c r="U11" s="26">
        <f>EXP(-U8*SQRT(U9))</f>
        <v>0.78482624176804672</v>
      </c>
      <c r="V11" s="5" t="str">
        <f t="shared" ca="1" si="1"/>
        <v>=EXP(-U8*SQRT(U9))</v>
      </c>
    </row>
    <row r="12" spans="1:22" ht="24" x14ac:dyDescent="0.6">
      <c r="A12" s="1" t="s">
        <v>138</v>
      </c>
      <c r="B12" s="15">
        <v>1</v>
      </c>
      <c r="D12" s="4" t="s">
        <v>8</v>
      </c>
      <c r="E12" s="6">
        <f>B5</f>
        <v>94.27</v>
      </c>
      <c r="T12" s="11"/>
    </row>
    <row r="13" spans="1:22" ht="23.5" x14ac:dyDescent="0.45">
      <c r="A13" s="1" t="s">
        <v>44</v>
      </c>
      <c r="B13" s="13">
        <f>B8/B12</f>
        <v>0.27397260273972601</v>
      </c>
      <c r="C13" s="5" t="str">
        <f ca="1">_xlfn.FORMULATEXT(B13)</f>
        <v>=B8/B12</v>
      </c>
      <c r="M13" s="66" t="s">
        <v>55</v>
      </c>
      <c r="N13" s="66"/>
      <c r="O13" s="66"/>
      <c r="P13" s="66"/>
      <c r="T13" s="24" t="s">
        <v>53</v>
      </c>
    </row>
    <row r="14" spans="1:22" ht="20.5" x14ac:dyDescent="0.45">
      <c r="M14" s="66" t="s">
        <v>56</v>
      </c>
      <c r="N14" s="66"/>
      <c r="O14" s="66"/>
      <c r="P14" s="66"/>
      <c r="T14" s="25" t="s">
        <v>48</v>
      </c>
      <c r="U14" s="26">
        <f>(EXP(U7*U9)-U11)/(U10-U11)</f>
        <v>0.4565870041154772</v>
      </c>
      <c r="V14" s="5" t="str">
        <f ca="1">_xlfn.FORMULATEXT(U14)</f>
        <v>=(EXP(U7*U9)-U11)/(U10-U11)</v>
      </c>
    </row>
    <row r="15" spans="1:22" ht="20.5" x14ac:dyDescent="0.45">
      <c r="A15" s="1" t="s">
        <v>10</v>
      </c>
      <c r="B15" s="7">
        <f>I6/E12</f>
        <v>1.1668611435239207</v>
      </c>
      <c r="C15" s="5" t="str">
        <f t="shared" ref="C15:C16" ca="1" si="2">_xlfn.FORMULATEXT(B15)</f>
        <v>=I6/E12</v>
      </c>
      <c r="M15" s="66" t="s">
        <v>57</v>
      </c>
      <c r="N15" s="66"/>
      <c r="O15" s="66"/>
      <c r="P15" s="66"/>
      <c r="T15" s="11" t="s">
        <v>49</v>
      </c>
      <c r="U15" s="27">
        <f>1-U14</f>
        <v>0.54341299588452285</v>
      </c>
      <c r="V15" s="5" t="str">
        <f ca="1">_xlfn.FORMULATEXT(U15)</f>
        <v>=1-U14</v>
      </c>
    </row>
    <row r="16" spans="1:22" ht="20.5" x14ac:dyDescent="0.45">
      <c r="A16" s="1" t="s">
        <v>11</v>
      </c>
      <c r="B16" s="7">
        <f>I16/E12</f>
        <v>0.8486262861992151</v>
      </c>
      <c r="C16" s="5" t="str">
        <f t="shared" ca="1" si="2"/>
        <v>=I16/E12</v>
      </c>
      <c r="H16" s="4" t="s">
        <v>2</v>
      </c>
      <c r="I16" s="9">
        <v>80</v>
      </c>
      <c r="M16" s="66" t="s">
        <v>58</v>
      </c>
      <c r="N16" s="66"/>
      <c r="O16" s="66"/>
      <c r="P16" s="66"/>
      <c r="T16" s="11"/>
    </row>
    <row r="17" spans="1:25" ht="20.5" x14ac:dyDescent="0.45">
      <c r="A17" s="65" t="s">
        <v>10</v>
      </c>
      <c r="B17" s="65" t="s">
        <v>13</v>
      </c>
      <c r="C17" s="65"/>
      <c r="H17" s="4" t="s">
        <v>3</v>
      </c>
      <c r="I17" s="10">
        <f>IF(I16&gt;$B$9,I16-$B$9,0)</f>
        <v>0</v>
      </c>
      <c r="J17" s="5" t="str">
        <f t="shared" ref="J17" ca="1" si="3">_xlfn.FORMULATEXT(I17)</f>
        <v>=IF(I16&gt;$B$9,I16-$B$9,0)</v>
      </c>
      <c r="K17" s="22"/>
      <c r="T17" s="11" t="s">
        <v>59</v>
      </c>
      <c r="U17" s="29">
        <f>EXP(-U7*U9)*((U14*X22)+(U15*X32))</f>
        <v>9.1094138719509079</v>
      </c>
      <c r="V17" s="5" t="str">
        <f ca="1">_xlfn.FORMULATEXT(U17)</f>
        <v>=EXP(-U7*U9)*((U14*X22)+(U15*X32))</v>
      </c>
    </row>
    <row r="18" spans="1:25" ht="22.5" x14ac:dyDescent="0.4">
      <c r="A18" s="65" t="s">
        <v>11</v>
      </c>
      <c r="B18" s="65" t="s">
        <v>12</v>
      </c>
      <c r="C18" s="65"/>
      <c r="M18" s="20" t="s">
        <v>137</v>
      </c>
    </row>
    <row r="19" spans="1:25" ht="21" x14ac:dyDescent="0.5">
      <c r="A19" s="65" t="s">
        <v>14</v>
      </c>
      <c r="B19" s="65" t="s">
        <v>15</v>
      </c>
      <c r="C19" s="65"/>
    </row>
    <row r="20" spans="1:25" ht="20.5" x14ac:dyDescent="0.45">
      <c r="M20" s="1" t="s">
        <v>60</v>
      </c>
      <c r="N20" s="29">
        <f>EXP(-B10*B13)*((N9*I7)+(N10*I17))</f>
        <v>4.9749464797098915</v>
      </c>
      <c r="O20" s="5" t="str">
        <f ca="1">_xlfn.FORMULATEXT(N20)</f>
        <v>=EXP(-B10*B13)*((N9*I7)+(N10*I17))</v>
      </c>
    </row>
    <row r="21" spans="1:25" ht="20.5" x14ac:dyDescent="0.45">
      <c r="W21" s="4" t="s">
        <v>0</v>
      </c>
      <c r="X21" s="10">
        <f>T27*U10</f>
        <v>120.1157593655759</v>
      </c>
      <c r="Y21" s="5" t="str">
        <f t="shared" ref="Y21:Y22" ca="1" si="4">_xlfn.FORMULATEXT(X21)</f>
        <v>=T27*U10</v>
      </c>
    </row>
    <row r="22" spans="1:25" ht="20.5" x14ac:dyDescent="0.45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23"/>
      <c r="W22" s="4" t="s">
        <v>1</v>
      </c>
      <c r="X22" s="10">
        <f>IF(X21&gt;$B$9,X21-$B$9,0)</f>
        <v>20.115759365575897</v>
      </c>
      <c r="Y22" s="5" t="str">
        <f t="shared" ca="1" si="4"/>
        <v>=IF(X21&gt;$B$9,X21-$B$9,0)</v>
      </c>
    </row>
    <row r="23" spans="1:25" ht="20.5" x14ac:dyDescent="0.45">
      <c r="A23" s="11"/>
      <c r="B23" s="11"/>
      <c r="C23" s="11"/>
      <c r="D23" s="11"/>
      <c r="E23" s="11"/>
      <c r="F23" s="11"/>
      <c r="G23" s="11"/>
      <c r="H23" s="11"/>
      <c r="I23" s="11"/>
      <c r="J23" s="11"/>
      <c r="K23" s="23"/>
      <c r="M23" s="1" t="s">
        <v>61</v>
      </c>
      <c r="N23" s="6">
        <f>N20-E45</f>
        <v>0</v>
      </c>
      <c r="O23" s="5" t="str">
        <f ca="1">_xlfn.FORMULATEXT(N23)</f>
        <v>=N20-E45</v>
      </c>
    </row>
    <row r="24" spans="1:25" x14ac:dyDescent="0.4">
      <c r="A24" s="11"/>
      <c r="B24" s="11"/>
      <c r="C24" s="11"/>
      <c r="D24" s="11"/>
      <c r="E24" s="11"/>
      <c r="F24" s="11"/>
      <c r="G24" s="11"/>
      <c r="H24" s="11"/>
      <c r="I24" s="11"/>
      <c r="J24" s="11"/>
      <c r="K24" s="23"/>
    </row>
    <row r="26" spans="1:25" ht="24" x14ac:dyDescent="0.6">
      <c r="B26" s="1" t="s">
        <v>25</v>
      </c>
      <c r="D26" s="1" t="s">
        <v>27</v>
      </c>
      <c r="F26" s="1" t="s">
        <v>142</v>
      </c>
      <c r="J26" s="1" t="s">
        <v>141</v>
      </c>
      <c r="M26" s="1" t="s">
        <v>150</v>
      </c>
    </row>
    <row r="27" spans="1:25" ht="24" x14ac:dyDescent="0.6">
      <c r="B27" s="1" t="s">
        <v>26</v>
      </c>
      <c r="D27" s="1" t="s">
        <v>28</v>
      </c>
      <c r="F27" s="1" t="s">
        <v>143</v>
      </c>
      <c r="J27" s="1" t="s">
        <v>141</v>
      </c>
      <c r="M27" s="1" t="s">
        <v>151</v>
      </c>
      <c r="S27" s="4" t="s">
        <v>8</v>
      </c>
      <c r="T27" s="6">
        <f>U6</f>
        <v>94.27</v>
      </c>
    </row>
    <row r="28" spans="1:25" x14ac:dyDescent="0.4">
      <c r="M28" s="1" t="s">
        <v>152</v>
      </c>
    </row>
    <row r="29" spans="1:25" x14ac:dyDescent="0.4">
      <c r="B29" s="1" t="s">
        <v>29</v>
      </c>
    </row>
    <row r="30" spans="1:25" ht="20.5" x14ac:dyDescent="0.45">
      <c r="Y30" s="5"/>
    </row>
    <row r="31" spans="1:25" ht="21" x14ac:dyDescent="0.5">
      <c r="C31" s="4" t="s">
        <v>35</v>
      </c>
      <c r="D31" s="4" t="s">
        <v>37</v>
      </c>
      <c r="E31" s="12">
        <f>10/30</f>
        <v>0.33333333333333331</v>
      </c>
      <c r="F31" s="5" t="str">
        <f t="shared" ref="F31" ca="1" si="5">_xlfn.FORMULATEXT(E31)</f>
        <v>=10/30</v>
      </c>
      <c r="W31" s="4" t="s">
        <v>2</v>
      </c>
      <c r="X31" s="10">
        <f>T27*U11</f>
        <v>73.985569811473766</v>
      </c>
      <c r="Y31" s="5" t="str">
        <f t="shared" ref="Y31:Y32" ca="1" si="6">_xlfn.FORMULATEXT(X31)</f>
        <v>=T27*U11</v>
      </c>
    </row>
    <row r="32" spans="1:25" ht="20.5" x14ac:dyDescent="0.45">
      <c r="C32" s="4" t="s">
        <v>30</v>
      </c>
      <c r="F32" s="1" t="s">
        <v>144</v>
      </c>
      <c r="W32" s="4" t="s">
        <v>3</v>
      </c>
      <c r="X32" s="10">
        <f>IF(X31&gt;$B$9,X31-$B$9,0)</f>
        <v>0</v>
      </c>
      <c r="Y32" s="5" t="str">
        <f t="shared" ca="1" si="6"/>
        <v>=IF(X31&gt;$B$9,X31-$B$9,0)</v>
      </c>
    </row>
    <row r="33" spans="2:10" x14ac:dyDescent="0.4">
      <c r="C33" s="4" t="s">
        <v>31</v>
      </c>
      <c r="F33" s="1" t="s">
        <v>146</v>
      </c>
    </row>
    <row r="34" spans="2:10" x14ac:dyDescent="0.4">
      <c r="C34" s="4" t="s">
        <v>32</v>
      </c>
      <c r="F34" s="1" t="s">
        <v>145</v>
      </c>
    </row>
    <row r="35" spans="2:10" x14ac:dyDescent="0.4">
      <c r="C35" s="4" t="s">
        <v>33</v>
      </c>
      <c r="F35" s="1" t="s">
        <v>147</v>
      </c>
    </row>
    <row r="36" spans="2:10" x14ac:dyDescent="0.4">
      <c r="C36" s="4" t="s">
        <v>34</v>
      </c>
    </row>
    <row r="38" spans="2:10" ht="20.5" x14ac:dyDescent="0.45">
      <c r="B38" s="1" t="s">
        <v>36</v>
      </c>
      <c r="D38" s="1" t="s">
        <v>38</v>
      </c>
      <c r="E38" s="6">
        <f>(I6*E31)-I7</f>
        <v>26.666666666666664</v>
      </c>
      <c r="F38" s="5" t="str">
        <f t="shared" ref="F38:F39" ca="1" si="7">_xlfn.FORMULATEXT(E38)</f>
        <v>=(I6*E31)-I7</v>
      </c>
      <c r="G38" s="1" t="s">
        <v>70</v>
      </c>
      <c r="I38" s="5" t="s">
        <v>148</v>
      </c>
      <c r="J38" s="5"/>
    </row>
    <row r="39" spans="2:10" ht="20.5" x14ac:dyDescent="0.45">
      <c r="D39" s="1" t="s">
        <v>39</v>
      </c>
      <c r="E39" s="6">
        <f>(I16*E31)-I17</f>
        <v>26.666666666666664</v>
      </c>
      <c r="F39" s="5" t="str">
        <f t="shared" ca="1" si="7"/>
        <v>=(I16*E31)-I17</v>
      </c>
      <c r="G39" s="1" t="s">
        <v>71</v>
      </c>
      <c r="I39" s="5" t="s">
        <v>149</v>
      </c>
      <c r="J39" s="5"/>
    </row>
    <row r="41" spans="2:10" x14ac:dyDescent="0.4">
      <c r="B41" s="1" t="s">
        <v>40</v>
      </c>
    </row>
    <row r="42" spans="2:10" ht="25" x14ac:dyDescent="0.6">
      <c r="C42" s="4" t="s">
        <v>41</v>
      </c>
      <c r="E42" s="14">
        <f>E38*EXP(-B10*B8)</f>
        <v>26.448386853623443</v>
      </c>
      <c r="F42" s="5" t="str">
        <f t="shared" ref="F42" ca="1" si="8">_xlfn.FORMULATEXT(E42)</f>
        <v>=E38*EXP(-B10*B8)</v>
      </c>
      <c r="G42" s="1" t="s">
        <v>136</v>
      </c>
    </row>
    <row r="43" spans="2:10" x14ac:dyDescent="0.4">
      <c r="B43" s="1" t="s">
        <v>43</v>
      </c>
    </row>
    <row r="44" spans="2:10" ht="25" x14ac:dyDescent="0.6">
      <c r="C44" s="4" t="s">
        <v>135</v>
      </c>
    </row>
    <row r="45" spans="2:10" ht="20.5" x14ac:dyDescent="0.45">
      <c r="C45" s="68" t="s">
        <v>42</v>
      </c>
      <c r="E45" s="14">
        <f>(E12*E31)-E42</f>
        <v>4.9749464797098888</v>
      </c>
      <c r="F45" s="5" t="str">
        <f t="shared" ref="F45" ca="1" si="9">_xlfn.FORMULATEXT(E45)</f>
        <v>=(E12*E31)-E42</v>
      </c>
    </row>
    <row r="47" spans="2:10" x14ac:dyDescent="0.4">
      <c r="B47" s="65" t="s">
        <v>129</v>
      </c>
      <c r="C47" s="65"/>
      <c r="D47" s="65"/>
      <c r="E47" s="65"/>
    </row>
    <row r="48" spans="2:10" ht="21" x14ac:dyDescent="0.5">
      <c r="B48" s="65" t="s">
        <v>130</v>
      </c>
      <c r="C48" s="65"/>
      <c r="D48" s="65"/>
      <c r="E48" s="65"/>
    </row>
    <row r="49" spans="2:5" x14ac:dyDescent="0.4">
      <c r="B49" s="65" t="s">
        <v>131</v>
      </c>
      <c r="C49" s="65"/>
      <c r="D49" s="65"/>
      <c r="E49" s="65"/>
    </row>
    <row r="50" spans="2:5" ht="24" x14ac:dyDescent="0.6">
      <c r="B50" s="65" t="s">
        <v>132</v>
      </c>
      <c r="C50" s="65"/>
      <c r="D50" s="65"/>
      <c r="E50" s="65"/>
    </row>
    <row r="51" spans="2:5" x14ac:dyDescent="0.4">
      <c r="B51" s="65" t="s">
        <v>133</v>
      </c>
      <c r="C51" s="65"/>
      <c r="D51" s="65"/>
      <c r="E51" s="65"/>
    </row>
    <row r="52" spans="2:5" x14ac:dyDescent="0.4">
      <c r="B52" s="65" t="s">
        <v>134</v>
      </c>
      <c r="C52" s="65"/>
      <c r="D52" s="65"/>
      <c r="E52" s="65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52046-8F64-4A9B-9372-A80CDD31E974}">
  <sheetPr codeName="Sheet5"/>
  <dimension ref="A1:AB36"/>
  <sheetViews>
    <sheetView showGridLines="0" zoomScale="57" zoomScaleNormal="115" workbookViewId="0">
      <selection activeCell="H34" sqref="H34"/>
    </sheetView>
  </sheetViews>
  <sheetFormatPr defaultColWidth="9.1484375" defaultRowHeight="20" x14ac:dyDescent="0.4"/>
  <cols>
    <col min="1" max="1" width="15.8984375" style="1" customWidth="1"/>
    <col min="2" max="2" width="9.1484375" style="1"/>
    <col min="3" max="3" width="23.69921875" style="1" bestFit="1" customWidth="1"/>
    <col min="4" max="5" width="9.1484375" style="1"/>
    <col min="6" max="6" width="3.84765625" style="1" customWidth="1"/>
    <col min="7" max="8" width="9.1484375" style="1"/>
    <col min="9" max="9" width="3.34765625" style="1" customWidth="1"/>
    <col min="10" max="11" width="9.1484375" style="1"/>
    <col min="12" max="12" width="2.5" style="1" customWidth="1"/>
    <col min="13" max="13" width="9.1484375" style="1"/>
    <col min="14" max="14" width="9.1484375" style="19"/>
    <col min="15" max="15" width="3.1484375" style="1" customWidth="1"/>
    <col min="16" max="16" width="9.1484375" style="1"/>
    <col min="17" max="17" width="9.1484375" style="19"/>
    <col min="18" max="21" width="9.1484375" style="1"/>
    <col min="22" max="22" width="3.796875" style="21" customWidth="1"/>
    <col min="23" max="16384" width="9.1484375" style="1"/>
  </cols>
  <sheetData>
    <row r="1" spans="1:28" x14ac:dyDescent="0.4">
      <c r="A1" s="30" t="s">
        <v>94</v>
      </c>
      <c r="G1" s="20" t="s">
        <v>76</v>
      </c>
      <c r="H1" s="17">
        <v>1</v>
      </c>
      <c r="K1" s="17">
        <v>2</v>
      </c>
      <c r="N1" s="17">
        <v>3</v>
      </c>
      <c r="Q1" s="17">
        <v>4</v>
      </c>
    </row>
    <row r="2" spans="1:28" x14ac:dyDescent="0.4">
      <c r="X2" s="30" t="s">
        <v>92</v>
      </c>
    </row>
    <row r="3" spans="1:28" x14ac:dyDescent="0.4">
      <c r="A3" s="16" t="s">
        <v>23</v>
      </c>
      <c r="B3" s="17" t="s">
        <v>24</v>
      </c>
      <c r="C3" s="17" t="s">
        <v>69</v>
      </c>
      <c r="P3" s="1" t="s">
        <v>78</v>
      </c>
      <c r="Q3" s="29">
        <f>N7*$B$14</f>
        <v>153.04758298471344</v>
      </c>
    </row>
    <row r="4" spans="1:28" ht="24" x14ac:dyDescent="0.6">
      <c r="A4" s="1" t="s">
        <v>8</v>
      </c>
      <c r="B4" s="2">
        <v>94.27</v>
      </c>
      <c r="P4" s="1" t="s">
        <v>86</v>
      </c>
      <c r="Q4" s="35">
        <f>IF($B$13="C",MAX(Q3-$B$8,0),MAX($B$8-Q3,0))</f>
        <v>0</v>
      </c>
      <c r="R4" s="5" t="str">
        <f ca="1">_xlfn.FORMULATEXT(Q4)</f>
        <v>=IF($B$13="C",MAX(Q3-$B$8,0),MAX($B$8-Q3,0))</v>
      </c>
      <c r="X4" s="72" t="s">
        <v>90</v>
      </c>
      <c r="Y4" s="72"/>
      <c r="Z4" s="72"/>
      <c r="AA4" s="72"/>
      <c r="AB4" s="72"/>
    </row>
    <row r="5" spans="1:28" x14ac:dyDescent="0.4">
      <c r="A5" s="1" t="s">
        <v>4</v>
      </c>
      <c r="B5" s="3">
        <v>44202</v>
      </c>
      <c r="X5" s="34">
        <v>0</v>
      </c>
      <c r="Y5" s="34">
        <v>1</v>
      </c>
      <c r="Z5" s="34">
        <v>2</v>
      </c>
      <c r="AA5" s="34">
        <v>3</v>
      </c>
      <c r="AB5" s="34">
        <v>4</v>
      </c>
    </row>
    <row r="6" spans="1:28" ht="24" x14ac:dyDescent="0.6">
      <c r="A6" s="1" t="s">
        <v>5</v>
      </c>
      <c r="B6" s="3">
        <v>44302</v>
      </c>
      <c r="W6" s="37" t="s">
        <v>93</v>
      </c>
      <c r="X6" s="36">
        <f>B4</f>
        <v>94.27</v>
      </c>
      <c r="Y6" s="36">
        <f>X6*$B$14</f>
        <v>106.41105504313374</v>
      </c>
      <c r="Z6" s="36">
        <f>Y6*$B$14</f>
        <v>120.1157593655759</v>
      </c>
      <c r="AA6" s="36">
        <f t="shared" ref="AA6:AB6" si="0">Z6*$B$14</f>
        <v>135.5854957186603</v>
      </c>
      <c r="AB6" s="36">
        <f t="shared" si="0"/>
        <v>153.04758298471344</v>
      </c>
    </row>
    <row r="7" spans="1:28" ht="20.5" x14ac:dyDescent="0.45">
      <c r="A7" s="1" t="s">
        <v>7</v>
      </c>
      <c r="B7" s="12">
        <f>YEARFRAC(B5,B6,1)</f>
        <v>0.27397260273972601</v>
      </c>
      <c r="C7" s="5" t="str">
        <f ca="1">_xlfn.FORMULATEXT(B7)</f>
        <v>=YEARFRAC(B5,B6,1)</v>
      </c>
      <c r="M7" s="1" t="s">
        <v>77</v>
      </c>
      <c r="N7" s="29">
        <f>K11*$B$14</f>
        <v>135.5854957186603</v>
      </c>
      <c r="Y7" s="36">
        <f>X6*$B$15</f>
        <v>83.514188412075413</v>
      </c>
      <c r="Z7" s="36">
        <f t="shared" ref="Z7:AB10" si="1">Y6*$B$15</f>
        <v>94.27</v>
      </c>
      <c r="AA7" s="36">
        <f t="shared" si="1"/>
        <v>106.41105504313374</v>
      </c>
      <c r="AB7" s="36">
        <f t="shared" si="1"/>
        <v>120.11575936557591</v>
      </c>
    </row>
    <row r="8" spans="1:28" x14ac:dyDescent="0.4">
      <c r="A8" s="1" t="s">
        <v>6</v>
      </c>
      <c r="B8" s="2">
        <v>100</v>
      </c>
      <c r="N8" s="35">
        <f>EXP(-$B$9*$B$12)*(($B$16*Q4)+($B$17*Q12))</f>
        <v>0</v>
      </c>
      <c r="Z8" s="36">
        <f t="shared" si="1"/>
        <v>73.985569811473766</v>
      </c>
      <c r="AA8" s="36">
        <f t="shared" si="1"/>
        <v>83.514188412075413</v>
      </c>
      <c r="AB8" s="36">
        <f t="shared" si="1"/>
        <v>94.27</v>
      </c>
    </row>
    <row r="9" spans="1:28" x14ac:dyDescent="0.4">
      <c r="A9" s="1" t="s">
        <v>9</v>
      </c>
      <c r="B9" s="8">
        <v>0.01</v>
      </c>
      <c r="AA9" s="36">
        <f t="shared" si="1"/>
        <v>65.544126625757713</v>
      </c>
      <c r="AB9" s="36">
        <f t="shared" si="1"/>
        <v>73.985569811473766</v>
      </c>
    </row>
    <row r="10" spans="1:28" ht="21" x14ac:dyDescent="0.5">
      <c r="A10" s="1" t="s">
        <v>64</v>
      </c>
      <c r="B10" s="8">
        <v>0.46289999999999998</v>
      </c>
      <c r="AB10" s="36">
        <f t="shared" si="1"/>
        <v>58.065816700206419</v>
      </c>
    </row>
    <row r="11" spans="1:28" x14ac:dyDescent="0.4">
      <c r="A11" s="1" t="s">
        <v>16</v>
      </c>
      <c r="B11" s="15">
        <v>4</v>
      </c>
      <c r="J11" s="1" t="s">
        <v>74</v>
      </c>
      <c r="K11" s="29">
        <f>H15*$B$14</f>
        <v>120.1157593655759</v>
      </c>
      <c r="P11" s="1" t="s">
        <v>82</v>
      </c>
      <c r="Q11" s="29">
        <f>N7*$B$15</f>
        <v>120.11575936557591</v>
      </c>
    </row>
    <row r="12" spans="1:28" ht="20.5" x14ac:dyDescent="0.45">
      <c r="A12" s="1" t="s">
        <v>153</v>
      </c>
      <c r="B12" s="14">
        <f>B7/B11</f>
        <v>6.8493150684931503E-2</v>
      </c>
      <c r="C12" s="5" t="str">
        <f ca="1">_xlfn.FORMULATEXT(B12)</f>
        <v>=B7/B11</v>
      </c>
      <c r="K12" s="35">
        <f>EXP(-$B$9*$B$12)*(($B$16*N8)+($B$17*N16))</f>
        <v>1.5917952422282464</v>
      </c>
      <c r="P12" s="1" t="s">
        <v>87</v>
      </c>
      <c r="Q12" s="35">
        <f>IF($B$13="C",MAX(Q11-$B$8,0),MAX($B$8-Q11,0))</f>
        <v>0</v>
      </c>
      <c r="R12" s="5" t="str">
        <f ca="1">_xlfn.FORMULATEXT(Q12)</f>
        <v>=IF($B$13="C",MAX(Q11-$B$8,0),MAX($B$8-Q11,0))</v>
      </c>
    </row>
    <row r="13" spans="1:28" x14ac:dyDescent="0.4">
      <c r="A13" s="1" t="s">
        <v>88</v>
      </c>
      <c r="B13" s="33" t="s">
        <v>89</v>
      </c>
      <c r="X13" s="72" t="s">
        <v>91</v>
      </c>
      <c r="Y13" s="72"/>
      <c r="Z13" s="72"/>
      <c r="AA13" s="72"/>
      <c r="AB13" s="72"/>
    </row>
    <row r="14" spans="1:28" ht="20.5" x14ac:dyDescent="0.45">
      <c r="A14" s="1" t="s">
        <v>10</v>
      </c>
      <c r="B14" s="31">
        <f>EXP($B$10*SQRT($B$12))</f>
        <v>1.1287902306474356</v>
      </c>
      <c r="C14" s="5" t="str">
        <f t="shared" ref="C14:C17" ca="1" si="2">_xlfn.FORMULATEXT(B14)</f>
        <v>=EXP($B$10*SQRT($B$12))</v>
      </c>
      <c r="X14" s="34">
        <v>0</v>
      </c>
      <c r="Y14" s="34">
        <v>1</v>
      </c>
      <c r="Z14" s="34">
        <v>2</v>
      </c>
      <c r="AA14" s="34">
        <v>3</v>
      </c>
      <c r="AB14" s="34">
        <v>4</v>
      </c>
    </row>
    <row r="15" spans="1:28" ht="20.5" x14ac:dyDescent="0.45">
      <c r="A15" s="1" t="s">
        <v>11</v>
      </c>
      <c r="B15" s="31">
        <f>EXP(-$B$10*SQRT($B$12))</f>
        <v>0.88590419446351354</v>
      </c>
      <c r="C15" s="5" t="str">
        <f t="shared" ca="1" si="2"/>
        <v>=EXP(-$B$10*SQRT($B$12))</v>
      </c>
      <c r="G15" s="1" t="s">
        <v>0</v>
      </c>
      <c r="H15" s="29">
        <f>E19*$B$14</f>
        <v>106.41105504313374</v>
      </c>
      <c r="M15" s="1" t="s">
        <v>79</v>
      </c>
      <c r="N15" s="29">
        <f>K11*$B$15</f>
        <v>106.41105504313374</v>
      </c>
      <c r="W15" s="37" t="s">
        <v>59</v>
      </c>
      <c r="X15" s="35">
        <f t="shared" ref="X15:Z16" si="3">EXP(-$B$9*$B$12)*(($B$16*Y15)+($B$17*Y16))</f>
        <v>12.561381582403891</v>
      </c>
      <c r="Y15" s="35">
        <f t="shared" si="3"/>
        <v>6.0641845446759097</v>
      </c>
      <c r="Z15" s="35">
        <f t="shared" si="3"/>
        <v>1.5917952422282464</v>
      </c>
      <c r="AA15" s="35">
        <f>EXP(-$B$9*$B$12)*(($B$16*AB15)+($B$17*AB16))</f>
        <v>0</v>
      </c>
      <c r="AB15" s="35">
        <f>IF($B$13="C",MAX(AB6-$B$8,0),MAX($B$8-AB6,0))</f>
        <v>0</v>
      </c>
    </row>
    <row r="16" spans="1:28" ht="20.5" x14ac:dyDescent="0.45">
      <c r="A16" s="1" t="s">
        <v>72</v>
      </c>
      <c r="B16" s="31">
        <f>(EXP(B9*B12)-B15)/(B14-B15)</f>
        <v>0.47257130737465275</v>
      </c>
      <c r="C16" s="5" t="str">
        <f t="shared" ca="1" si="2"/>
        <v>=(EXP(B9*B12)-B15)/(B14-B15)</v>
      </c>
      <c r="H16" s="35">
        <f>EXP(-$B$9*$B$12)*(($B$16*K12)+($B$17*K20))</f>
        <v>6.0641845446759097</v>
      </c>
      <c r="N16" s="35">
        <f>EXP(-$B$9*$B$12)*(($B$16*Q12)+($B$17*Q20))</f>
        <v>3.0200971404853618</v>
      </c>
      <c r="Y16" s="35">
        <f t="shared" si="3"/>
        <v>18.399129081918378</v>
      </c>
      <c r="Z16" s="35">
        <f t="shared" ref="Z16" si="4">EXP(-$B$9*$B$12)*(($B$16*AA16)+($B$17*AA17))</f>
        <v>10.079282439780711</v>
      </c>
      <c r="AA16" s="35">
        <f t="shared" ref="AA16:AA18" si="5">EXP(-$B$9*$B$12)*(($B$16*AB16)+($B$17*AB17))</f>
        <v>3.0200971404853618</v>
      </c>
      <c r="AB16" s="35">
        <f t="shared" ref="AB16:AB19" si="6">IF($B$13="C",MAX(AB7-$B$8,0),MAX($B$8-AB7,0))</f>
        <v>0</v>
      </c>
    </row>
    <row r="17" spans="1:28" ht="20.5" x14ac:dyDescent="0.45">
      <c r="A17" s="1" t="s">
        <v>49</v>
      </c>
      <c r="B17" s="32">
        <f>1-B16</f>
        <v>0.52742869262534731</v>
      </c>
      <c r="C17" s="5" t="str">
        <f t="shared" ca="1" si="2"/>
        <v>=1-B16</v>
      </c>
      <c r="Z17" s="35">
        <f t="shared" ref="Z17" si="7">EXP(-$B$9*$B$12)*(($B$16*AA17)+($B$17*AA18))</f>
        <v>25.877537670561829</v>
      </c>
      <c r="AA17" s="35">
        <f t="shared" si="5"/>
        <v>16.417341888443651</v>
      </c>
      <c r="AB17" s="35">
        <f t="shared" si="6"/>
        <v>5.730000000000004</v>
      </c>
    </row>
    <row r="18" spans="1:28" x14ac:dyDescent="0.4">
      <c r="AA18" s="35">
        <f t="shared" si="5"/>
        <v>34.387403674761345</v>
      </c>
      <c r="AB18" s="35">
        <f t="shared" si="6"/>
        <v>26.014430188526234</v>
      </c>
    </row>
    <row r="19" spans="1:28" ht="24" x14ac:dyDescent="0.6">
      <c r="A19" s="40" t="s">
        <v>59</v>
      </c>
      <c r="B19" s="38">
        <f>E20</f>
        <v>12.561381582403891</v>
      </c>
      <c r="D19" s="4" t="s">
        <v>8</v>
      </c>
      <c r="E19" s="6">
        <f>B4</f>
        <v>94.27</v>
      </c>
      <c r="J19" s="1" t="s">
        <v>73</v>
      </c>
      <c r="K19" s="28">
        <f>H15*$B$15</f>
        <v>94.27</v>
      </c>
      <c r="P19" s="1" t="s">
        <v>83</v>
      </c>
      <c r="Q19" s="29">
        <f>N15*$B$15</f>
        <v>94.27</v>
      </c>
      <c r="AB19" s="35">
        <f t="shared" si="6"/>
        <v>41.934183299793581</v>
      </c>
    </row>
    <row r="20" spans="1:28" ht="20.5" x14ac:dyDescent="0.45">
      <c r="E20" s="35">
        <f>EXP(-$B$9*$B$12)*(($B$16*H16)+($B$17*H24))</f>
        <v>12.561381582403891</v>
      </c>
      <c r="K20" s="35">
        <f>EXP(-$B$9*$B$12)*(($B$16*N16)+($B$17*N24))</f>
        <v>10.079282439780711</v>
      </c>
      <c r="Q20" s="35">
        <f>IF($B$13="C",MAX(Q19-$B$8,0),MAX($B$8-Q19,0))</f>
        <v>5.730000000000004</v>
      </c>
      <c r="R20" s="5" t="str">
        <f ca="1">_xlfn.FORMULATEXT(Q20)</f>
        <v>=IF($B$13="C",MAX(Q19-$B$8,0),MAX($B$8-Q19,0))</v>
      </c>
    </row>
    <row r="23" spans="1:28" x14ac:dyDescent="0.4">
      <c r="G23" s="1" t="s">
        <v>2</v>
      </c>
      <c r="H23" s="29">
        <f>E19*$B$15</f>
        <v>83.514188412075413</v>
      </c>
      <c r="M23" s="1" t="s">
        <v>80</v>
      </c>
      <c r="N23" s="29">
        <f>K19*$B$15</f>
        <v>83.514188412075413</v>
      </c>
    </row>
    <row r="24" spans="1:28" x14ac:dyDescent="0.4">
      <c r="H24" s="35">
        <f>EXP(-$B$9*$B$12)*(($B$16*K20)+($B$17*K28))</f>
        <v>18.399129081918378</v>
      </c>
      <c r="N24" s="35">
        <f>EXP(-$B$9*$B$12)*(($B$16*Q20)+($B$17*Q28))</f>
        <v>16.417341888443651</v>
      </c>
    </row>
    <row r="27" spans="1:28" x14ac:dyDescent="0.4">
      <c r="J27" s="1" t="s">
        <v>75</v>
      </c>
      <c r="K27" s="29">
        <f>H23*$B$15</f>
        <v>73.985569811473766</v>
      </c>
      <c r="P27" s="1" t="s">
        <v>84</v>
      </c>
      <c r="Q27" s="29">
        <f>N23*$B$15</f>
        <v>73.985569811473766</v>
      </c>
    </row>
    <row r="28" spans="1:28" ht="20.5" x14ac:dyDescent="0.45">
      <c r="K28" s="35">
        <f>EXP(-$B$9*$B$12)*(($B$16*N24)+($B$17*N32))</f>
        <v>25.877537670561829</v>
      </c>
      <c r="Q28" s="35">
        <f>IF($B$13="C",MAX(Q27-$B$8,0),MAX($B$8-Q27,0))</f>
        <v>26.014430188526234</v>
      </c>
      <c r="R28" s="5" t="str">
        <f ca="1">_xlfn.FORMULATEXT(Q28)</f>
        <v>=IF($B$13="C",MAX(Q27-$B$8,0),MAX($B$8-Q27,0))</v>
      </c>
    </row>
    <row r="31" spans="1:28" x14ac:dyDescent="0.4">
      <c r="M31" s="1" t="s">
        <v>81</v>
      </c>
      <c r="N31" s="29">
        <f>K27*$B$15</f>
        <v>65.544126625757713</v>
      </c>
    </row>
    <row r="32" spans="1:28" x14ac:dyDescent="0.4">
      <c r="N32" s="35">
        <f>EXP(-$B$9*$B$12)*(($B$16*Q28)+($B$17*Q36))</f>
        <v>34.387403674761345</v>
      </c>
    </row>
    <row r="35" spans="1:18" x14ac:dyDescent="0.4">
      <c r="A35" s="1" t="s">
        <v>154</v>
      </c>
      <c r="P35" s="1" t="s">
        <v>85</v>
      </c>
      <c r="Q35" s="29">
        <f>N31*$B$15</f>
        <v>58.065816700206419</v>
      </c>
    </row>
    <row r="36" spans="1:18" ht="20.5" x14ac:dyDescent="0.45">
      <c r="A36" s="1" t="s">
        <v>89</v>
      </c>
      <c r="Q36" s="35">
        <f>IF($B$13="C",MAX(Q35-$B$8,0),MAX($B$8-Q35,0))</f>
        <v>41.934183299793581</v>
      </c>
      <c r="R36" s="5" t="str">
        <f ca="1">_xlfn.FORMULATEXT(Q36)</f>
        <v>=IF($B$13="C",MAX(Q35-$B$8,0),MAX($B$8-Q35,0))</v>
      </c>
    </row>
  </sheetData>
  <mergeCells count="2">
    <mergeCell ref="X4:AB4"/>
    <mergeCell ref="X13:AB13"/>
  </mergeCells>
  <dataValidations count="1">
    <dataValidation type="list" allowBlank="1" showInputMessage="1" showErrorMessage="1" sqref="B13" xr:uid="{3F40B274-A855-415D-A2BA-B67013AF7B5B}">
      <formula1>$A$35:$A$36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69D12-3466-4566-AF97-AB160E5ADC9C}">
  <sheetPr codeName="Sheet6"/>
  <dimension ref="A1:AB36"/>
  <sheetViews>
    <sheetView showGridLines="0" zoomScale="70" zoomScaleNormal="70" workbookViewId="0">
      <selection activeCell="C27" sqref="C27"/>
    </sheetView>
  </sheetViews>
  <sheetFormatPr defaultColWidth="9.1484375" defaultRowHeight="20" x14ac:dyDescent="0.4"/>
  <cols>
    <col min="1" max="1" width="14.546875" style="1" bestFit="1" customWidth="1"/>
    <col min="2" max="2" width="9.1484375" style="1"/>
    <col min="3" max="3" width="23.69921875" style="1" bestFit="1" customWidth="1"/>
    <col min="4" max="5" width="9.1484375" style="1"/>
    <col min="6" max="6" width="3.84765625" style="1" customWidth="1"/>
    <col min="7" max="8" width="9.1484375" style="1"/>
    <col min="9" max="9" width="3.34765625" style="1" customWidth="1"/>
    <col min="10" max="11" width="9.1484375" style="1"/>
    <col min="12" max="12" width="2.5" style="1" customWidth="1"/>
    <col min="13" max="13" width="9.1484375" style="1"/>
    <col min="14" max="14" width="9.1484375" style="19"/>
    <col min="15" max="15" width="3.1484375" style="1" customWidth="1"/>
    <col min="16" max="16" width="9.1484375" style="1"/>
    <col min="17" max="17" width="9.1484375" style="19"/>
    <col min="18" max="21" width="9.1484375" style="1"/>
    <col min="22" max="22" width="3.796875" style="21" customWidth="1"/>
    <col min="23" max="16384" width="9.1484375" style="1"/>
  </cols>
  <sheetData>
    <row r="1" spans="1:28" ht="25" x14ac:dyDescent="0.5">
      <c r="A1" s="51" t="s">
        <v>95</v>
      </c>
      <c r="G1" s="20" t="s">
        <v>76</v>
      </c>
      <c r="H1" s="17">
        <v>1</v>
      </c>
      <c r="K1" s="17">
        <v>2</v>
      </c>
      <c r="N1" s="17">
        <v>3</v>
      </c>
      <c r="Q1" s="17">
        <v>4</v>
      </c>
    </row>
    <row r="2" spans="1:28" x14ac:dyDescent="0.4">
      <c r="X2" s="30" t="s">
        <v>92</v>
      </c>
    </row>
    <row r="3" spans="1:28" x14ac:dyDescent="0.4">
      <c r="A3" s="16" t="s">
        <v>23</v>
      </c>
      <c r="B3" s="17" t="s">
        <v>24</v>
      </c>
      <c r="C3" s="17" t="s">
        <v>69</v>
      </c>
      <c r="P3" s="1" t="s">
        <v>78</v>
      </c>
      <c r="Q3" s="29">
        <f>N7*$B$14</f>
        <v>153.04758298471344</v>
      </c>
    </row>
    <row r="4" spans="1:28" ht="24" x14ac:dyDescent="0.6">
      <c r="A4" s="1" t="s">
        <v>8</v>
      </c>
      <c r="B4" s="2">
        <v>94.27</v>
      </c>
      <c r="P4" s="1" t="s">
        <v>86</v>
      </c>
      <c r="Q4" s="35">
        <f>IF($B$13="C",MAX(Q3-$B$8,0),MAX($B$8-Q3,0))</f>
        <v>0</v>
      </c>
      <c r="R4" s="5" t="str">
        <f ca="1">_xlfn.FORMULATEXT(Q4)</f>
        <v>=IF($B$13="C",MAX(Q3-$B$8,0),MAX($B$8-Q3,0))</v>
      </c>
      <c r="X4" s="72" t="s">
        <v>90</v>
      </c>
      <c r="Y4" s="72"/>
      <c r="Z4" s="72"/>
      <c r="AA4" s="72"/>
      <c r="AB4" s="72"/>
    </row>
    <row r="5" spans="1:28" x14ac:dyDescent="0.4">
      <c r="A5" s="1" t="s">
        <v>4</v>
      </c>
      <c r="B5" s="3">
        <v>44202</v>
      </c>
      <c r="X5" s="34">
        <v>0</v>
      </c>
      <c r="Y5" s="34">
        <v>1</v>
      </c>
      <c r="Z5" s="34">
        <v>2</v>
      </c>
      <c r="AA5" s="34">
        <v>3</v>
      </c>
      <c r="AB5" s="34">
        <v>4</v>
      </c>
    </row>
    <row r="6" spans="1:28" ht="24" x14ac:dyDescent="0.6">
      <c r="A6" s="1" t="s">
        <v>5</v>
      </c>
      <c r="B6" s="3">
        <v>44302</v>
      </c>
      <c r="W6" s="37" t="s">
        <v>93</v>
      </c>
      <c r="X6" s="36">
        <f>B4</f>
        <v>94.27</v>
      </c>
      <c r="Y6" s="36">
        <f>X6*$B$14</f>
        <v>106.41105504313374</v>
      </c>
      <c r="Z6" s="36">
        <f t="shared" ref="Z6:AB6" si="0">Y6*$B$14</f>
        <v>120.1157593655759</v>
      </c>
      <c r="AA6" s="36">
        <f t="shared" si="0"/>
        <v>135.5854957186603</v>
      </c>
      <c r="AB6" s="36">
        <f t="shared" si="0"/>
        <v>153.04758298471344</v>
      </c>
    </row>
    <row r="7" spans="1:28" ht="20.5" x14ac:dyDescent="0.45">
      <c r="A7" s="1" t="s">
        <v>7</v>
      </c>
      <c r="B7" s="12">
        <f>YEARFRAC(B5,B6,1)</f>
        <v>0.27397260273972601</v>
      </c>
      <c r="C7" s="5" t="str">
        <f ca="1">_xlfn.FORMULATEXT(B7)</f>
        <v>=YEARFRAC(B5,B6,1)</v>
      </c>
      <c r="M7" s="1" t="s">
        <v>77</v>
      </c>
      <c r="N7" s="29">
        <f>K11*$B$14</f>
        <v>135.5854957186603</v>
      </c>
      <c r="Y7" s="36">
        <f>X6*$B$15</f>
        <v>83.514188412075413</v>
      </c>
      <c r="Z7" s="36">
        <f t="shared" ref="Z7:AB10" si="1">Y6*$B$15</f>
        <v>94.27</v>
      </c>
      <c r="AA7" s="36">
        <f t="shared" si="1"/>
        <v>106.41105504313374</v>
      </c>
      <c r="AB7" s="36">
        <f t="shared" si="1"/>
        <v>120.11575936557591</v>
      </c>
    </row>
    <row r="8" spans="1:28" x14ac:dyDescent="0.4">
      <c r="A8" s="1" t="s">
        <v>6</v>
      </c>
      <c r="B8" s="2">
        <v>100</v>
      </c>
      <c r="M8" s="1" t="s">
        <v>112</v>
      </c>
      <c r="N8" s="35">
        <f>IF($B$13="C",MAX(N7-$B$8,EXP(-$B$9*$B$12)*(($B$16*Q4)+($B$17*Q12))),MAX($B$8-N7,EXP(-$B$9*$B$12)*(($B$16*Q4)+($B$17*Q12))))</f>
        <v>0</v>
      </c>
      <c r="Z8" s="36">
        <f t="shared" si="1"/>
        <v>73.985569811473766</v>
      </c>
      <c r="AA8" s="36">
        <f t="shared" si="1"/>
        <v>83.514188412075413</v>
      </c>
      <c r="AB8" s="36">
        <f t="shared" si="1"/>
        <v>94.27</v>
      </c>
    </row>
    <row r="9" spans="1:28" x14ac:dyDescent="0.4">
      <c r="A9" s="1" t="s">
        <v>9</v>
      </c>
      <c r="B9" s="8">
        <v>0.01</v>
      </c>
      <c r="M9" s="1" t="s">
        <v>96</v>
      </c>
      <c r="N9" s="52">
        <f>IF($B$13="C",N7-$B$8,$B$8-N7)</f>
        <v>-35.585495718660297</v>
      </c>
      <c r="AA9" s="36">
        <f t="shared" si="1"/>
        <v>65.544126625757713</v>
      </c>
      <c r="AB9" s="36">
        <f t="shared" si="1"/>
        <v>73.985569811473766</v>
      </c>
    </row>
    <row r="10" spans="1:28" ht="21" x14ac:dyDescent="0.5">
      <c r="A10" s="1" t="s">
        <v>64</v>
      </c>
      <c r="B10" s="8">
        <v>0.46289999999999998</v>
      </c>
      <c r="AB10" s="36">
        <f t="shared" si="1"/>
        <v>58.065816700206419</v>
      </c>
    </row>
    <row r="11" spans="1:28" x14ac:dyDescent="0.4">
      <c r="A11" s="1" t="s">
        <v>16</v>
      </c>
      <c r="B11" s="15">
        <v>4</v>
      </c>
      <c r="J11" s="1" t="s">
        <v>74</v>
      </c>
      <c r="K11" s="29">
        <f>H15*$B$14</f>
        <v>120.1157593655759</v>
      </c>
      <c r="P11" s="1" t="s">
        <v>82</v>
      </c>
      <c r="Q11" s="29">
        <f>N7*$B$15</f>
        <v>120.11575936557591</v>
      </c>
    </row>
    <row r="12" spans="1:28" ht="20.5" x14ac:dyDescent="0.45">
      <c r="A12" s="1" t="s">
        <v>68</v>
      </c>
      <c r="B12" s="14">
        <f>B7/B11</f>
        <v>6.8493150684931503E-2</v>
      </c>
      <c r="C12" s="5" t="str">
        <f ca="1">_xlfn.FORMULATEXT(B12)</f>
        <v>=B7/B11</v>
      </c>
      <c r="J12" s="1" t="s">
        <v>109</v>
      </c>
      <c r="K12" s="35">
        <f>IF($B$13="C",MAX(K11-$B$8,EXP(-$B$9*$B$12)*(($B$16*N8)+($B$17*N16))),MAX($B$8-K11,EXP(-$B$9*$B$12)*(($B$16*N8)+($B$17*N16))))</f>
        <v>1.5917952422282464</v>
      </c>
      <c r="P12" s="1" t="s">
        <v>87</v>
      </c>
      <c r="Q12" s="35">
        <f>IF($B$13="C",MAX(Q11-$B$8,0),MAX($B$8-Q11,0))</f>
        <v>0</v>
      </c>
      <c r="R12" s="5" t="str">
        <f ca="1">_xlfn.FORMULATEXT(Q12)</f>
        <v>=IF($B$13="C",MAX(Q11-$B$8,0),MAX($B$8-Q11,0))</v>
      </c>
    </row>
    <row r="13" spans="1:28" x14ac:dyDescent="0.4">
      <c r="A13" s="1" t="s">
        <v>88</v>
      </c>
      <c r="B13" s="33" t="s">
        <v>89</v>
      </c>
      <c r="J13" s="1" t="s">
        <v>96</v>
      </c>
      <c r="K13" s="52">
        <f>IF($B$13="C",K11-$B$8,$B$8-K11)</f>
        <v>-20.115759365575897</v>
      </c>
      <c r="X13" s="72" t="s">
        <v>91</v>
      </c>
      <c r="Y13" s="72"/>
      <c r="Z13" s="72"/>
      <c r="AA13" s="72"/>
      <c r="AB13" s="72"/>
    </row>
    <row r="14" spans="1:28" ht="20.5" x14ac:dyDescent="0.45">
      <c r="A14" s="1" t="s">
        <v>10</v>
      </c>
      <c r="B14" s="31">
        <f>EXP($B$10*SQRT($B$12))</f>
        <v>1.1287902306474356</v>
      </c>
      <c r="C14" s="5" t="str">
        <f t="shared" ref="C14:C17" ca="1" si="2">_xlfn.FORMULATEXT(B14)</f>
        <v>=EXP($B$10*SQRT($B$12))</v>
      </c>
      <c r="X14" s="34">
        <v>0</v>
      </c>
      <c r="Y14" s="34">
        <v>1</v>
      </c>
      <c r="Z14" s="34">
        <v>2</v>
      </c>
      <c r="AA14" s="34">
        <v>3</v>
      </c>
      <c r="AB14" s="34">
        <v>4</v>
      </c>
    </row>
    <row r="15" spans="1:28" ht="20.5" x14ac:dyDescent="0.45">
      <c r="A15" s="1" t="s">
        <v>11</v>
      </c>
      <c r="B15" s="31">
        <f>EXP(-$B$10*SQRT($B$12))</f>
        <v>0.88590419446351354</v>
      </c>
      <c r="C15" s="5" t="str">
        <f t="shared" ca="1" si="2"/>
        <v>=EXP(-$B$10*SQRT($B$12))</v>
      </c>
      <c r="G15" s="1" t="s">
        <v>0</v>
      </c>
      <c r="H15" s="29">
        <f>E19*$B$14</f>
        <v>106.41105504313374</v>
      </c>
      <c r="M15" s="1" t="s">
        <v>79</v>
      </c>
      <c r="N15" s="29">
        <f>K11*$B$15</f>
        <v>106.41105504313374</v>
      </c>
      <c r="W15" s="37" t="s">
        <v>59</v>
      </c>
      <c r="X15" s="35">
        <f t="shared" ref="X15:Z16" si="3">IF($B$13="C",MAX(X6-$B$8,EXP(-$B$9*$B$12)*(($B$16*Y15)+($B$17*Y16))),MAX($B$8-X6,EXP(-$B$9*$B$12)*(($B$16*Y15)+($B$17*Y16))))</f>
        <v>12.61737550512389</v>
      </c>
      <c r="Y15" s="35">
        <f t="shared" si="3"/>
        <v>6.0832054420355162</v>
      </c>
      <c r="Z15" s="35">
        <f t="shared" si="3"/>
        <v>1.5917952422282464</v>
      </c>
      <c r="AA15" s="35">
        <f>IF($B$13="C",MAX(AA6-$B$8,EXP(-$B$9*$B$12)*(($B$16*AB15)+($B$17*AB16))),MAX($B$8-AA6,EXP(-$B$9*$B$12)*(($B$16*AB15)+($B$17*AB16))))</f>
        <v>0</v>
      </c>
      <c r="AB15" s="35">
        <f>IF($B$13="C",MAX(AB6-$B$8,0),MAX($B$8-AB6,0))</f>
        <v>0</v>
      </c>
    </row>
    <row r="16" spans="1:28" ht="20.5" x14ac:dyDescent="0.45">
      <c r="A16" s="1" t="s">
        <v>72</v>
      </c>
      <c r="B16" s="31">
        <f>(EXP(B9*B12)-B15)/(B14-B15)</f>
        <v>0.47257130737465275</v>
      </c>
      <c r="C16" s="5" t="str">
        <f t="shared" ca="1" si="2"/>
        <v>=(EXP(B9*B12)-B15)/(B14-B15)</v>
      </c>
      <c r="G16" s="1" t="s">
        <v>1</v>
      </c>
      <c r="H16" s="35">
        <f>IF($B$13="C",MAX(H15-$B$8,EXP(-$B$9*$B$12)*(($B$16*K12)+($B$17*K20))),MAX($B$8-H15,EXP(-$B$9*$B$12)*(($B$16*K12)+($B$17*K20))))</f>
        <v>6.0832054420355162</v>
      </c>
      <c r="M16" s="1" t="s">
        <v>113</v>
      </c>
      <c r="N16" s="35">
        <f>IF($B$13="C",MAX(N15-$B$8,EXP(-$B$9*$B$12)*(($B$16*Q12)+($B$17*Q20))),MAX($B$8-N15,EXP(-$B$9*$B$12)*(($B$16*Q12)+($B$17*Q20))))</f>
        <v>3.0200971404853618</v>
      </c>
      <c r="Y16" s="35">
        <f t="shared" si="3"/>
        <v>18.488323238747949</v>
      </c>
      <c r="Z16" s="35">
        <f t="shared" ref="Z16" si="4">IF($B$13="C",MAX(Z7-$B$8,EXP(-$B$9*$B$12)*(($B$16*AA16)+($B$17*AA17))),MAX($B$8-Z7,EXP(-$B$9*$B$12)*(($B$16*AA16)+($B$17*AA17))))</f>
        <v>10.115370597479185</v>
      </c>
      <c r="AA16" s="35">
        <f t="shared" ref="AA16:AA18" si="5">IF($B$13="C",MAX(AA7-$B$8,EXP(-$B$9*$B$12)*(($B$16*AB16)+($B$17*AB17))),MAX($B$8-AA7,EXP(-$B$9*$B$12)*(($B$16*AB16)+($B$17*AB17))))</f>
        <v>3.0200971404853618</v>
      </c>
      <c r="AB16" s="35">
        <f t="shared" ref="AB16:AB19" si="6">IF($B$13="C",MAX(AB7-$B$8,0),MAX($B$8-AB7,0))</f>
        <v>0</v>
      </c>
    </row>
    <row r="17" spans="1:28" ht="20.5" x14ac:dyDescent="0.45">
      <c r="A17" s="1" t="s">
        <v>49</v>
      </c>
      <c r="B17" s="32">
        <f>1-B16</f>
        <v>0.52742869262534731</v>
      </c>
      <c r="C17" s="5" t="str">
        <f t="shared" ca="1" si="2"/>
        <v>=1-B16</v>
      </c>
      <c r="G17" s="1" t="s">
        <v>96</v>
      </c>
      <c r="H17" s="52">
        <f>IF($B$13="C",H15-$B$8,$B$8-H15)</f>
        <v>-6.411055043133743</v>
      </c>
      <c r="M17" s="1" t="s">
        <v>96</v>
      </c>
      <c r="N17" s="52">
        <f>IF($B$13="C",N15-$B$8,$B$8-N15)</f>
        <v>-6.411055043133743</v>
      </c>
      <c r="Z17" s="35">
        <f t="shared" ref="Z17" si="7">IF($B$13="C",MAX(Z8-$B$8,EXP(-$B$9*$B$12)*(($B$16*AA17)+($B$17*AA18))),MAX($B$8-Z8,EXP(-$B$9*$B$12)*(($B$16*AA17)+($B$17*AA18))))</f>
        <v>26.014430188526234</v>
      </c>
      <c r="AA17" s="35">
        <f t="shared" si="5"/>
        <v>16.485811587924587</v>
      </c>
      <c r="AB17" s="35">
        <f t="shared" si="6"/>
        <v>5.730000000000004</v>
      </c>
    </row>
    <row r="18" spans="1:28" x14ac:dyDescent="0.4">
      <c r="AA18" s="35">
        <f t="shared" si="5"/>
        <v>34.455873374242287</v>
      </c>
      <c r="AB18" s="35">
        <f t="shared" si="6"/>
        <v>26.014430188526234</v>
      </c>
    </row>
    <row r="19" spans="1:28" ht="24" x14ac:dyDescent="0.6">
      <c r="A19" s="40" t="s">
        <v>59</v>
      </c>
      <c r="B19" s="38">
        <f>E20</f>
        <v>12.61737550512389</v>
      </c>
      <c r="D19" s="4" t="s">
        <v>8</v>
      </c>
      <c r="E19" s="6">
        <f>B4</f>
        <v>94.27</v>
      </c>
      <c r="J19" s="1" t="s">
        <v>73</v>
      </c>
      <c r="K19" s="28">
        <f>H15*$B$15</f>
        <v>94.27</v>
      </c>
      <c r="P19" s="1" t="s">
        <v>83</v>
      </c>
      <c r="Q19" s="29">
        <f>N15*$B$15</f>
        <v>94.27</v>
      </c>
      <c r="AB19" s="35">
        <f t="shared" si="6"/>
        <v>41.934183299793581</v>
      </c>
    </row>
    <row r="20" spans="1:28" ht="20.5" x14ac:dyDescent="0.45">
      <c r="D20" s="4" t="s">
        <v>59</v>
      </c>
      <c r="E20" s="35">
        <f>IF($B$13="C",MAX(E19-$B$8,EXP(-$B$9*$B$12)*(($B$16*H16)+($B$17*H24))),MAX($B$8-E19,EXP(-$B$9*$B$12)*(($B$16*H16)+($B$17*H24))))</f>
        <v>12.61737550512389</v>
      </c>
      <c r="J20" s="1" t="s">
        <v>110</v>
      </c>
      <c r="K20" s="35">
        <f>IF($B$13="C",MAX(K19-$B$8,EXP(-$B$9*$B$12)*(($B$16*N16)+($B$17*N24))),MAX($B$8-K19,EXP(-$B$9*$B$12)*(($B$16*N16)+($B$17*N24))))</f>
        <v>10.115370597479185</v>
      </c>
      <c r="Q20" s="35">
        <f>IF($B$13="C",MAX(Q19-$B$8,0),MAX($B$8-Q19,0))</f>
        <v>5.730000000000004</v>
      </c>
      <c r="R20" s="5" t="str">
        <f ca="1">_xlfn.FORMULATEXT(Q20)</f>
        <v>=IF($B$13="C",MAX(Q19-$B$8,0),MAX($B$8-Q19,0))</v>
      </c>
    </row>
    <row r="21" spans="1:28" x14ac:dyDescent="0.4">
      <c r="D21" s="1" t="s">
        <v>96</v>
      </c>
      <c r="E21" s="52">
        <f>IF($B$13="C",E19-$B$8,$B$8-E19)</f>
        <v>5.730000000000004</v>
      </c>
      <c r="J21" s="1" t="s">
        <v>96</v>
      </c>
      <c r="K21" s="52">
        <f>IF($B$13="C",K19-$B$8,$B$8-K19)</f>
        <v>5.730000000000004</v>
      </c>
    </row>
    <row r="23" spans="1:28" x14ac:dyDescent="0.4">
      <c r="G23" s="1" t="s">
        <v>2</v>
      </c>
      <c r="H23" s="29">
        <f>E19*$B$15</f>
        <v>83.514188412075413</v>
      </c>
      <c r="M23" s="1" t="s">
        <v>80</v>
      </c>
      <c r="N23" s="29">
        <f>K19*$B$15</f>
        <v>83.514188412075413</v>
      </c>
    </row>
    <row r="24" spans="1:28" x14ac:dyDescent="0.4">
      <c r="G24" s="1" t="s">
        <v>3</v>
      </c>
      <c r="H24" s="35">
        <f>IF($B$13="C",MAX(H23-$B$8,EXP(-$B$9*$B$12)*(($B$16*K20)+($B$17*K28))),MAX($B$8-H23,EXP(-$B$9*$B$12)*(($B$16*K20)+($B$17*K28))))</f>
        <v>18.488323238747949</v>
      </c>
      <c r="M24" s="1" t="s">
        <v>114</v>
      </c>
      <c r="N24" s="35">
        <f>IF($B$13="C",MAX(N23-$B$8,EXP(-$B$9*$B$12)*(($B$16*Q20)+($B$17*Q28))),MAX($B$8-N23,EXP(-$B$9*$B$12)*(($B$16*Q20)+($B$17*Q28))))</f>
        <v>16.485811587924587</v>
      </c>
    </row>
    <row r="25" spans="1:28" x14ac:dyDescent="0.4">
      <c r="G25" s="1" t="s">
        <v>96</v>
      </c>
      <c r="H25" s="52">
        <f>IF($B$13="C",H23-$B$8,$B$8-H23)</f>
        <v>16.485811587924587</v>
      </c>
      <c r="M25" s="1" t="s">
        <v>96</v>
      </c>
      <c r="N25" s="52">
        <f>IF($B$13="C",N23-$B$8,$B$8-N23)</f>
        <v>16.485811587924587</v>
      </c>
    </row>
    <row r="27" spans="1:28" x14ac:dyDescent="0.4">
      <c r="J27" s="1" t="s">
        <v>75</v>
      </c>
      <c r="K27" s="29">
        <f>H23*$B$15</f>
        <v>73.985569811473766</v>
      </c>
      <c r="P27" s="1" t="s">
        <v>84</v>
      </c>
      <c r="Q27" s="29">
        <f>N23*$B$15</f>
        <v>73.985569811473766</v>
      </c>
    </row>
    <row r="28" spans="1:28" ht="20.5" x14ac:dyDescent="0.45">
      <c r="J28" s="1" t="s">
        <v>119</v>
      </c>
      <c r="K28" s="35">
        <f>IF($B$13="C",MAX(K27-$B$8,EXP(-$B$9*$B$12)*(($B$16*N24)+($B$17*N32))),MAX($B$8-K27,EXP(-$B$9*$B$12)*(($B$16*N24)+($B$17*N32))))</f>
        <v>26.014430188526234</v>
      </c>
      <c r="Q28" s="35">
        <f>IF($B$13="C",MAX(Q27-$B$8,0),MAX($B$8-Q27,0))</f>
        <v>26.014430188526234</v>
      </c>
      <c r="R28" s="5" t="str">
        <f ca="1">_xlfn.FORMULATEXT(Q28)</f>
        <v>=IF($B$13="C",MAX(Q27-$B$8,0),MAX($B$8-Q27,0))</v>
      </c>
    </row>
    <row r="29" spans="1:28" x14ac:dyDescent="0.4">
      <c r="J29" s="1" t="s">
        <v>96</v>
      </c>
      <c r="K29" s="52">
        <f>IF($B$13="C",K27-$B$8,$B$8-K27)</f>
        <v>26.014430188526234</v>
      </c>
    </row>
    <row r="31" spans="1:28" x14ac:dyDescent="0.4">
      <c r="M31" s="1" t="s">
        <v>81</v>
      </c>
      <c r="N31" s="29">
        <f>K27*$B$15</f>
        <v>65.544126625757713</v>
      </c>
    </row>
    <row r="32" spans="1:28" x14ac:dyDescent="0.4">
      <c r="M32" s="1" t="s">
        <v>115</v>
      </c>
      <c r="N32" s="35">
        <f>IF($B$13="C",MAX(N31-$B$8,EXP(-$B$9*$B$12)*(($B$16*Q28)+($B$17*Q36))),MAX($B$8-N31,EXP(-$B$9*$B$12)*(($B$16*Q28)+($B$17*Q36))))</f>
        <v>34.455873374242287</v>
      </c>
    </row>
    <row r="33" spans="13:18" x14ac:dyDescent="0.4">
      <c r="M33" s="1" t="s">
        <v>96</v>
      </c>
      <c r="N33" s="52">
        <f>IF($B$13="C",N31-$B$8,$B$8-N31)</f>
        <v>34.455873374242287</v>
      </c>
    </row>
    <row r="35" spans="13:18" x14ac:dyDescent="0.4">
      <c r="P35" s="1" t="s">
        <v>85</v>
      </c>
      <c r="Q35" s="29">
        <f>N31*$B$15</f>
        <v>58.065816700206419</v>
      </c>
    </row>
    <row r="36" spans="13:18" ht="20.5" x14ac:dyDescent="0.45">
      <c r="Q36" s="35">
        <f>IF($B$13="C",MAX(Q35-$B$8,0),MAX($B$8-Q35,0))</f>
        <v>41.934183299793581</v>
      </c>
      <c r="R36" s="5" t="str">
        <f ca="1">_xlfn.FORMULATEXT(Q36)</f>
        <v>=IF($B$13="C",MAX(Q35-$B$8,0),MAX($B$8-Q35,0))</v>
      </c>
    </row>
  </sheetData>
  <mergeCells count="2">
    <mergeCell ref="X4:AB4"/>
    <mergeCell ref="X13:AB1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ED158-A68F-46CD-BE5C-FE500D89FBC7}">
  <sheetPr codeName="Sheet1"/>
  <dimension ref="A1:AC45"/>
  <sheetViews>
    <sheetView showGridLines="0" zoomScale="60" zoomScaleNormal="85" workbookViewId="0">
      <selection activeCell="D22" sqref="D22"/>
    </sheetView>
  </sheetViews>
  <sheetFormatPr defaultColWidth="9.1484375" defaultRowHeight="20" x14ac:dyDescent="0.4"/>
  <cols>
    <col min="1" max="1" width="24.546875" style="1" bestFit="1" customWidth="1"/>
    <col min="2" max="8" width="9.1484375" style="1"/>
    <col min="9" max="9" width="9.1484375" style="1" customWidth="1"/>
    <col min="10" max="11" width="9.1484375" style="1"/>
    <col min="12" max="12" width="12.75" style="1" bestFit="1" customWidth="1"/>
    <col min="13" max="14" width="9.1484375" style="1"/>
    <col min="15" max="15" width="23.34765625" style="1" customWidth="1"/>
    <col min="16" max="20" width="9.1484375" style="1"/>
    <col min="21" max="21" width="47.5" style="1" customWidth="1"/>
    <col min="22" max="22" width="3.69921875" style="1" customWidth="1"/>
    <col min="23" max="23" width="9.1484375" style="1" customWidth="1"/>
    <col min="24" max="24" width="9.1484375" style="1"/>
    <col min="25" max="25" width="11" style="1" customWidth="1"/>
    <col min="26" max="26" width="17.69921875" style="1" customWidth="1"/>
    <col min="27" max="27" width="17.59765625" style="1" customWidth="1"/>
    <col min="28" max="28" width="13.296875" style="1" customWidth="1"/>
    <col min="29" max="16384" width="9.1484375" style="1"/>
  </cols>
  <sheetData>
    <row r="1" spans="1:29" ht="25" x14ac:dyDescent="0.5">
      <c r="A1" s="51" t="s">
        <v>98</v>
      </c>
      <c r="E1" s="17" t="s">
        <v>156</v>
      </c>
      <c r="G1" s="20" t="s">
        <v>76</v>
      </c>
      <c r="H1" s="17">
        <v>1</v>
      </c>
      <c r="K1" s="17">
        <v>2</v>
      </c>
      <c r="N1" s="17">
        <v>3</v>
      </c>
      <c r="Q1" s="17">
        <v>4</v>
      </c>
      <c r="V1" s="21"/>
    </row>
    <row r="2" spans="1:29" ht="20.5" x14ac:dyDescent="0.45">
      <c r="A2" s="30"/>
      <c r="E2" s="42">
        <f>B5</f>
        <v>44202</v>
      </c>
      <c r="F2" s="45" t="str">
        <f t="shared" ref="F2" ca="1" si="0">_xlfn.FORMULATEXT(E2)</f>
        <v>=B5</v>
      </c>
      <c r="H2" s="42">
        <f>E2+$B$13</f>
        <v>44227</v>
      </c>
      <c r="I2" s="45" t="str">
        <f t="shared" ref="I2:I5" ca="1" si="1">_xlfn.FORMULATEXT(H2)</f>
        <v>=E2+$B$13</v>
      </c>
      <c r="K2" s="42">
        <f>H2+$B$13</f>
        <v>44252</v>
      </c>
      <c r="L2" s="45" t="str">
        <f t="shared" ref="L2:L5" ca="1" si="2">_xlfn.FORMULATEXT(K2)</f>
        <v>=H2+$B$13</v>
      </c>
      <c r="N2" s="42">
        <f>K2+$B$13</f>
        <v>44277</v>
      </c>
      <c r="O2" s="45" t="str">
        <f t="shared" ref="O2:O5" ca="1" si="3">_xlfn.FORMULATEXT(N2)</f>
        <v>=K2+$B$13</v>
      </c>
      <c r="Q2" s="42">
        <f>N2+$B$13</f>
        <v>44302</v>
      </c>
      <c r="V2" s="21"/>
      <c r="X2" s="5" t="str">
        <f t="shared" ref="X2:Y2" ca="1" si="4">_xlfn.FORMULATEXT(X8)</f>
        <v>=B4</v>
      </c>
      <c r="Y2" s="5" t="str">
        <f t="shared" ca="1" si="4"/>
        <v>=X8*$B$16</v>
      </c>
      <c r="Z2" s="5" t="str">
        <f ca="1">_xlfn.FORMULATEXT(Z8)</f>
        <v>=Y8*$B$16*(1-$B$27)</v>
      </c>
      <c r="AA2" s="5" t="str">
        <f t="shared" ref="AA2:AB2" ca="1" si="5">_xlfn.FORMULATEXT(AA8)</f>
        <v>=Z8*$B$16</v>
      </c>
      <c r="AB2" s="5" t="str">
        <f t="shared" ca="1" si="5"/>
        <v>=AA8*$B$16</v>
      </c>
    </row>
    <row r="3" spans="1:29" ht="20.5" x14ac:dyDescent="0.45">
      <c r="A3" s="16" t="s">
        <v>23</v>
      </c>
      <c r="B3" s="17" t="s">
        <v>97</v>
      </c>
      <c r="C3" s="17" t="s">
        <v>69</v>
      </c>
      <c r="I3" s="45"/>
      <c r="K3" s="39" t="s">
        <v>103</v>
      </c>
      <c r="L3" s="45"/>
      <c r="O3" s="45"/>
      <c r="V3" s="21"/>
    </row>
    <row r="4" spans="1:29" ht="24" x14ac:dyDescent="0.6">
      <c r="A4" s="1" t="s">
        <v>8</v>
      </c>
      <c r="B4" s="2">
        <v>23.92</v>
      </c>
      <c r="H4" s="70">
        <f>INT(H2)</f>
        <v>44227</v>
      </c>
      <c r="I4" s="45" t="str">
        <f t="shared" ca="1" si="1"/>
        <v>=INT(H2)</v>
      </c>
      <c r="K4" s="70">
        <f>INT(K2)</f>
        <v>44252</v>
      </c>
      <c r="L4" s="45" t="str">
        <f t="shared" ca="1" si="2"/>
        <v>=INT(K2)</v>
      </c>
      <c r="N4" s="70">
        <f>INT(N2)</f>
        <v>44277</v>
      </c>
      <c r="O4" s="45" t="str">
        <f t="shared" ca="1" si="3"/>
        <v>=INT(N2)</v>
      </c>
      <c r="Q4" s="70">
        <f>INT(Q2)</f>
        <v>44302</v>
      </c>
      <c r="V4" s="21"/>
      <c r="X4" s="30" t="s">
        <v>92</v>
      </c>
    </row>
    <row r="5" spans="1:29" ht="20.5" x14ac:dyDescent="0.45">
      <c r="A5" s="1" t="s">
        <v>4</v>
      </c>
      <c r="B5" s="3">
        <v>44202</v>
      </c>
      <c r="H5" s="13">
        <f>H4-$B$30</f>
        <v>-11</v>
      </c>
      <c r="I5" s="45" t="str">
        <f t="shared" ca="1" si="1"/>
        <v>=H4-$B$30</v>
      </c>
      <c r="K5" s="13">
        <f>K4-$B$30</f>
        <v>14</v>
      </c>
      <c r="L5" s="45" t="str">
        <f t="shared" ca="1" si="2"/>
        <v>=K4-$B$30</v>
      </c>
      <c r="N5" s="13">
        <f>N4-$B$30</f>
        <v>39</v>
      </c>
      <c r="O5" s="45" t="str">
        <f t="shared" ca="1" si="3"/>
        <v>=N4-$B$30</v>
      </c>
      <c r="P5" s="1" t="s">
        <v>78</v>
      </c>
      <c r="Q5" s="29">
        <f>N9*$B$16</f>
        <v>34.939964992250211</v>
      </c>
      <c r="R5" s="5" t="str">
        <f ca="1">_xlfn.FORMULATEXT(Q5)</f>
        <v>=N9*$B$16</v>
      </c>
      <c r="V5" s="21"/>
      <c r="X5" s="42">
        <f>B5</f>
        <v>44202</v>
      </c>
      <c r="Y5" s="42">
        <f>X5+$B$13</f>
        <v>44227</v>
      </c>
      <c r="Z5" s="42">
        <f t="shared" ref="Z5:AB5" si="6">Y5+$B$13</f>
        <v>44252</v>
      </c>
      <c r="AA5" s="42">
        <f t="shared" si="6"/>
        <v>44277</v>
      </c>
      <c r="AB5" s="42">
        <f t="shared" si="6"/>
        <v>44302</v>
      </c>
    </row>
    <row r="6" spans="1:29" ht="20.5" x14ac:dyDescent="0.45">
      <c r="A6" s="1" t="s">
        <v>5</v>
      </c>
      <c r="B6" s="3">
        <v>44302</v>
      </c>
      <c r="N6" s="19"/>
      <c r="P6" s="1" t="s">
        <v>86</v>
      </c>
      <c r="Q6" s="35">
        <f>IF($B$15="C",MAX(Q5-$B$8,0),MAX($B$8-Q5,0))</f>
        <v>9.9399649922502107</v>
      </c>
      <c r="R6" s="5" t="str">
        <f ca="1">_xlfn.FORMULATEXT(Q6)</f>
        <v>=IF($B$15="C",MAX(Q5-$B$8,0),MAX($B$8-Q5,0))</v>
      </c>
      <c r="V6" s="21"/>
      <c r="X6" s="72" t="s">
        <v>99</v>
      </c>
      <c r="Y6" s="72"/>
      <c r="Z6" s="72"/>
      <c r="AA6" s="72"/>
      <c r="AB6" s="72"/>
    </row>
    <row r="7" spans="1:29" ht="20.5" x14ac:dyDescent="0.45">
      <c r="A7" s="1" t="s">
        <v>7</v>
      </c>
      <c r="B7" s="12">
        <f>YEARFRAC(B5,B6,1)</f>
        <v>0.27397260273972601</v>
      </c>
      <c r="C7" s="5" t="str">
        <f ca="1">_xlfn.FORMULATEXT(B7)</f>
        <v>=YEARFRAC(B5,B6,1)</v>
      </c>
      <c r="N7" s="19"/>
      <c r="Q7" s="19"/>
      <c r="V7" s="21"/>
      <c r="X7" s="34">
        <v>0</v>
      </c>
      <c r="Y7" s="34">
        <v>1</v>
      </c>
      <c r="Z7" s="46">
        <v>2</v>
      </c>
      <c r="AA7" s="34">
        <v>3</v>
      </c>
      <c r="AB7" s="34">
        <v>4</v>
      </c>
    </row>
    <row r="8" spans="1:29" ht="24" x14ac:dyDescent="0.6">
      <c r="A8" s="1" t="s">
        <v>6</v>
      </c>
      <c r="B8" s="2">
        <v>25</v>
      </c>
      <c r="N8" s="19"/>
      <c r="Q8" s="19"/>
      <c r="V8" s="21"/>
      <c r="W8" s="37" t="s">
        <v>93</v>
      </c>
      <c r="X8" s="36">
        <f>B4</f>
        <v>23.92</v>
      </c>
      <c r="Y8" s="36">
        <f>X8*$B$16</f>
        <v>26.390069142774934</v>
      </c>
      <c r="Z8" s="36">
        <f>Y8*$B$16*(1-$B$27)</f>
        <v>28.705410375760597</v>
      </c>
      <c r="AA8" s="36">
        <f t="shared" ref="AA8:AB8" si="7">Z8*$B$16</f>
        <v>31.66963898779478</v>
      </c>
      <c r="AB8" s="36">
        <f t="shared" si="7"/>
        <v>34.939964992250211</v>
      </c>
      <c r="AC8" s="5" t="str">
        <f t="shared" ref="AC8:AC12" ca="1" si="8">_xlfn.FORMULATEXT(AB8)</f>
        <v>=AA8*$B$16</v>
      </c>
    </row>
    <row r="9" spans="1:29" ht="20.5" x14ac:dyDescent="0.45">
      <c r="A9" s="1" t="s">
        <v>9</v>
      </c>
      <c r="B9" s="8">
        <v>0.01</v>
      </c>
      <c r="M9" s="1" t="s">
        <v>77</v>
      </c>
      <c r="N9" s="29">
        <f>K12*$B$16</f>
        <v>31.66963898779478</v>
      </c>
      <c r="O9" s="45" t="str">
        <f ca="1">_xlfn.FORMULATEXT(N9)</f>
        <v>=K12*$B$16</v>
      </c>
      <c r="Q9" s="19"/>
      <c r="V9" s="21"/>
      <c r="Y9" s="36">
        <f>X8*$B$17</f>
        <v>21.681125460660176</v>
      </c>
      <c r="Z9" s="36">
        <f>Y8*$B$17*(1-$B$27)</f>
        <v>23.583326000000003</v>
      </c>
      <c r="AA9" s="36">
        <f t="shared" ref="AA9:AB12" si="9">Z8*$B$17</f>
        <v>26.018628919590377</v>
      </c>
      <c r="AB9" s="36">
        <f t="shared" si="9"/>
        <v>28.7054103757606</v>
      </c>
      <c r="AC9" s="5" t="str">
        <f t="shared" ca="1" si="8"/>
        <v>=AA8*$B$17</v>
      </c>
    </row>
    <row r="10" spans="1:29" ht="20.5" x14ac:dyDescent="0.45">
      <c r="A10" s="1" t="s">
        <v>125</v>
      </c>
      <c r="B10" s="26">
        <f>IF(B15="C",C34,C35)</f>
        <v>0.3755</v>
      </c>
      <c r="C10" s="5" t="str">
        <f ca="1">_xlfn.FORMULATEXT(B10)</f>
        <v>=IF(B15="C",C34,C35)</v>
      </c>
      <c r="M10" s="1" t="s">
        <v>112</v>
      </c>
      <c r="N10" s="35">
        <f>IF($B$15="C",MAX(N9-$B$8,EXP(-$B$9*$B$12)*(($B$18*Q6)+($B$19*Q14))),MAX($B$8-N9,EXP(-$B$9*$B$12)*(($B$18*Q6)+($B$19*Q14))))</f>
        <v>6.686756412665015</v>
      </c>
      <c r="O10" s="45" t="str">
        <f t="shared" ref="O10:O12" ca="1" si="10">_xlfn.FORMULATEXT(N10)</f>
        <v>=IF($B$15="C",MAX(N9-$B$8,EXP(-$B$9*$B$12)*(($B$18*Q6)+($B$19*Q14))),MAX($B$8-N9,EXP(-$B$9*$B$12)*(($B$18*Q6)+($B$19*Q14))))</v>
      </c>
      <c r="Q10" s="19"/>
      <c r="V10" s="21"/>
      <c r="Y10" s="5" t="str">
        <f ca="1">_xlfn.FORMULATEXT(Y9)</f>
        <v>=X8*$B$17</v>
      </c>
      <c r="Z10" s="36">
        <f>Y9*$B$17*(1-$B$27)</f>
        <v>19.37520690148083</v>
      </c>
      <c r="AA10" s="36">
        <f t="shared" si="9"/>
        <v>21.375963619801386</v>
      </c>
      <c r="AB10" s="36">
        <f t="shared" si="9"/>
        <v>23.583326000000003</v>
      </c>
      <c r="AC10" s="5" t="str">
        <f t="shared" ca="1" si="8"/>
        <v>=AA9*$B$17</v>
      </c>
    </row>
    <row r="11" spans="1:29" ht="20.5" x14ac:dyDescent="0.45">
      <c r="A11" s="1" t="s">
        <v>16</v>
      </c>
      <c r="B11" s="15">
        <v>4</v>
      </c>
      <c r="M11" s="1" t="s">
        <v>96</v>
      </c>
      <c r="N11" s="52">
        <f>IF($B$15="C",MAX(N9-$B$8,0),MAX($B$8-N9,0))</f>
        <v>6.6696389877947801</v>
      </c>
      <c r="O11" s="45" t="str">
        <f t="shared" ca="1" si="10"/>
        <v>=IF($B$15="C",MAX(N9-$B$8,0),MAX($B$8-N9,0))</v>
      </c>
      <c r="Q11" s="19"/>
      <c r="V11" s="21"/>
      <c r="Z11" s="5" t="str">
        <f ca="1">_xlfn.FORMULATEXT(Z10)</f>
        <v>=Y9*$B$17*(1-$B$27)</v>
      </c>
      <c r="AA11" s="36">
        <f t="shared" si="9"/>
        <v>17.561717878647773</v>
      </c>
      <c r="AB11" s="36">
        <f t="shared" si="9"/>
        <v>19.37520690148083</v>
      </c>
      <c r="AC11" s="5" t="str">
        <f t="shared" ca="1" si="8"/>
        <v>=AA10*$B$17</v>
      </c>
    </row>
    <row r="12" spans="1:29" ht="20.5" x14ac:dyDescent="0.45">
      <c r="A12" s="1" t="s">
        <v>68</v>
      </c>
      <c r="B12" s="14">
        <f>B7/B11</f>
        <v>6.8493150684931503E-2</v>
      </c>
      <c r="C12" s="5" t="str">
        <f ca="1">_xlfn.FORMULATEXT(B12)</f>
        <v>=B7/B11</v>
      </c>
      <c r="J12" s="1" t="s">
        <v>104</v>
      </c>
      <c r="K12" s="43">
        <f>K13*(1-$B$27)</f>
        <v>28.705410375760597</v>
      </c>
      <c r="L12" s="45" t="str">
        <f t="shared" ref="L12:L15" ca="1" si="11">_xlfn.FORMULATEXT(K12)</f>
        <v>=K13*(1-$B$27)</v>
      </c>
      <c r="M12" s="1" t="s">
        <v>126</v>
      </c>
      <c r="N12" s="41">
        <f>EXP(-$B$9*$B$12)*(($B$18*Q6)+($B$19*Q14))</f>
        <v>6.686756412665015</v>
      </c>
      <c r="O12" s="45" t="str">
        <f t="shared" ca="1" si="10"/>
        <v>=EXP(-$B$9*$B$12)*(($B$18*Q6)+($B$19*Q14))</v>
      </c>
      <c r="Q12" s="19"/>
      <c r="V12" s="21"/>
      <c r="AB12" s="36">
        <f t="shared" si="9"/>
        <v>15.917968588280988</v>
      </c>
      <c r="AC12" s="5" t="str">
        <f t="shared" ca="1" si="8"/>
        <v>=AA11*$B$17</v>
      </c>
    </row>
    <row r="13" spans="1:29" ht="20.5" x14ac:dyDescent="0.45">
      <c r="A13" s="1" t="s">
        <v>102</v>
      </c>
      <c r="B13" s="14">
        <f>B12*365</f>
        <v>25</v>
      </c>
      <c r="C13" s="5" t="str">
        <f ca="1">_xlfn.FORMULATEXT(B13)</f>
        <v>=B12*365</v>
      </c>
      <c r="J13" s="1" t="s">
        <v>74</v>
      </c>
      <c r="K13" s="29">
        <f>H17*$B$16</f>
        <v>29.115206913061943</v>
      </c>
      <c r="L13" s="45" t="str">
        <f t="shared" ca="1" si="11"/>
        <v>=H17*$B$16</v>
      </c>
      <c r="N13" s="19"/>
      <c r="O13" s="11"/>
      <c r="P13" s="1" t="s">
        <v>82</v>
      </c>
      <c r="Q13" s="29">
        <f>N9*$B$17</f>
        <v>28.7054103757606</v>
      </c>
      <c r="R13" s="5" t="str">
        <f ca="1">_xlfn.FORMULATEXT(Q13)</f>
        <v>=N9*$B$17</v>
      </c>
      <c r="V13" s="21"/>
      <c r="X13" s="5" t="str">
        <f t="shared" ref="X13:Y13" ca="1" si="12">_xlfn.FORMULATEXT(X17)</f>
        <v>=B4</v>
      </c>
      <c r="Y13" s="5" t="str">
        <f t="shared" ca="1" si="12"/>
        <v>=X17*$B$16</v>
      </c>
      <c r="Z13" s="5" t="str">
        <f ca="1">_xlfn.FORMULATEXT(Z17)</f>
        <v>=Y17*$B$16</v>
      </c>
      <c r="AA13" s="5" t="str">
        <f ca="1">_xlfn.FORMULATEXT(AA17)</f>
        <v>=Z17*(1-$B$27)*$B$16</v>
      </c>
      <c r="AB13" s="5" t="str">
        <f ca="1">_xlfn.FORMULATEXT(AB17)</f>
        <v>=AA17*$B$16</v>
      </c>
    </row>
    <row r="14" spans="1:29" ht="20.5" x14ac:dyDescent="0.45">
      <c r="D14" s="13"/>
      <c r="J14" s="1" t="s">
        <v>109</v>
      </c>
      <c r="K14" s="35">
        <f>IF($B$15="C",MAX(K13-$B$8,EXP(-$B$9*$B$12)*(($B$18*N10)+($B$19*N18))),MAX($B$8-K12,EXP(-$B$9*$B$12)*(($B$18*N10)+($B$19*N18))))</f>
        <v>4.1237507824037891</v>
      </c>
      <c r="L14" s="45" t="str">
        <f t="shared" ca="1" si="11"/>
        <v>=IF($B$15="C",MAX(K13-$B$8,EXP(-$B$9*$B$12)*(($B$18*N10)+($B$19*N18))),MAX($B$8-K12,EXP(-$B$9*$B$12)*(($B$18*N10)+($B$19*N18))))</v>
      </c>
      <c r="N14" s="19"/>
      <c r="P14" s="1" t="s">
        <v>87</v>
      </c>
      <c r="Q14" s="35">
        <f>IF($B$15="C",MAX(Q13-$B$8,0),MAX($B$8-Q13,0))</f>
        <v>3.7054103757606001</v>
      </c>
      <c r="R14" s="5" t="str">
        <f ca="1">_xlfn.FORMULATEXT(Q14)</f>
        <v>=IF($B$15="C",MAX(Q13-$B$8,0),MAX($B$8-Q13,0))</v>
      </c>
      <c r="V14" s="21"/>
    </row>
    <row r="15" spans="1:29" ht="20.5" x14ac:dyDescent="0.45">
      <c r="A15" s="1" t="s">
        <v>88</v>
      </c>
      <c r="B15" s="33" t="s">
        <v>154</v>
      </c>
      <c r="J15" s="1" t="s">
        <v>96</v>
      </c>
      <c r="K15" s="52">
        <f>IF($B$15="C",MAX(K13-$B$8,0),MAX($B$8-K12,0))</f>
        <v>4.1152069130619431</v>
      </c>
      <c r="L15" s="45" t="str">
        <f t="shared" ca="1" si="11"/>
        <v>=IF($B$15="C",MAX(K13-$B$8,0),MAX($B$8-K12,0))</v>
      </c>
      <c r="N15" s="19"/>
      <c r="Q15" s="19"/>
      <c r="V15" s="21"/>
      <c r="X15" s="72" t="s">
        <v>108</v>
      </c>
      <c r="Y15" s="72"/>
      <c r="Z15" s="72"/>
      <c r="AA15" s="72"/>
      <c r="AB15" s="72"/>
    </row>
    <row r="16" spans="1:29" ht="20.5" x14ac:dyDescent="0.45">
      <c r="A16" s="1" t="s">
        <v>10</v>
      </c>
      <c r="B16" s="31">
        <f>EXP($B$10*SQRT($B$12))</f>
        <v>1.1032637601494537</v>
      </c>
      <c r="C16" s="5" t="str">
        <f t="shared" ref="C16:C19" ca="1" si="13">_xlfn.FORMULATEXT(B16)</f>
        <v>=EXP($B$10*SQRT($B$12))</v>
      </c>
      <c r="D16" s="1">
        <f>B4</f>
        <v>23.92</v>
      </c>
      <c r="N16" s="19"/>
      <c r="Q16" s="19"/>
      <c r="V16" s="21"/>
      <c r="X16" s="34">
        <v>0</v>
      </c>
      <c r="Y16" s="34">
        <v>1</v>
      </c>
      <c r="Z16" s="46">
        <v>2</v>
      </c>
      <c r="AA16" s="34">
        <v>3</v>
      </c>
      <c r="AB16" s="34">
        <v>4</v>
      </c>
    </row>
    <row r="17" spans="1:29" ht="24" x14ac:dyDescent="0.6">
      <c r="A17" s="1" t="s">
        <v>11</v>
      </c>
      <c r="B17" s="31">
        <f>EXP(-$B$10*SQRT($B$12))</f>
        <v>0.906401566081111</v>
      </c>
      <c r="C17" s="5" t="str">
        <f t="shared" ca="1" si="13"/>
        <v>=EXP(-$B$10*SQRT($B$12))</v>
      </c>
      <c r="G17" s="1" t="s">
        <v>0</v>
      </c>
      <c r="H17" s="29">
        <f>E21*$B$16</f>
        <v>26.390069142774934</v>
      </c>
      <c r="I17" s="45" t="str">
        <f t="shared" ref="I17:I19" ca="1" si="14">_xlfn.FORMULATEXT(H17)</f>
        <v>=E21*$B$16</v>
      </c>
      <c r="M17" s="1" t="s">
        <v>79</v>
      </c>
      <c r="N17" s="29">
        <f>K12*$B$17</f>
        <v>26.018628919590377</v>
      </c>
      <c r="O17" s="45" t="str">
        <f ca="1">_xlfn.FORMULATEXT(N17)</f>
        <v>=K12*$B$17</v>
      </c>
      <c r="Q17" s="19"/>
      <c r="V17" s="21"/>
      <c r="W17" s="37" t="s">
        <v>93</v>
      </c>
      <c r="X17" s="41">
        <f>B4</f>
        <v>23.92</v>
      </c>
      <c r="Y17" s="41">
        <f>X17*$B$16</f>
        <v>26.390069142774934</v>
      </c>
      <c r="Z17" s="41">
        <f>Y17*$B$16</f>
        <v>29.115206913061943</v>
      </c>
      <c r="AA17" s="41">
        <f>Z17*(1-$B$27)*$B$16</f>
        <v>31.66963898779478</v>
      </c>
      <c r="AB17" s="41">
        <f>AA17*$B$16</f>
        <v>34.939964992250211</v>
      </c>
      <c r="AC17" s="5" t="str">
        <f t="shared" ref="AC17:AC21" ca="1" si="15">_xlfn.FORMULATEXT(AB17)</f>
        <v>=AA17*$B$16</v>
      </c>
    </row>
    <row r="18" spans="1:29" ht="20.5" x14ac:dyDescent="0.45">
      <c r="A18" s="1" t="s">
        <v>72</v>
      </c>
      <c r="B18" s="31">
        <f>(EXP(B9*B12)-B17)/(B16-B17)</f>
        <v>0.47893197823526379</v>
      </c>
      <c r="C18" s="5" t="str">
        <f t="shared" ca="1" si="13"/>
        <v>=(EXP(B9*B12)-B17)/(B16-B17)</v>
      </c>
      <c r="G18" s="1" t="s">
        <v>1</v>
      </c>
      <c r="H18" s="35">
        <f>IF($B$15="C",MAX(H17-$B$8,EXP(-$B$9*$B$12)*(($B$18*K14)+($B$19*K22))),MAX($B$8-H17,EXP(-$B$9*$B$12)*(($B$18*K14)+($B$19*K22))))</f>
        <v>2.4156069551458015</v>
      </c>
      <c r="I18" s="45" t="str">
        <f t="shared" ca="1" si="14"/>
        <v>=IF($B$15="C",MAX(H17-$B$8,EXP(-$B$9*$B$12)*(($B$18*K14)+($B$19*K22))),MAX($B$8-H17,EXP(-$B$9*$B$12)*(($B$18*K14)+($B$19*K22))))</v>
      </c>
      <c r="M18" s="1" t="s">
        <v>113</v>
      </c>
      <c r="N18" s="35">
        <f>IF($B$15="C",MAX(N17-$B$8,EXP(-$B$9*$B$12)*(($B$18*Q14)+($B$19*Q22))),MAX($B$8-N17,EXP(-$B$9*$B$12)*(($B$18*Q14)+($B$19*Q22))))</f>
        <v>1.7734244310892986</v>
      </c>
      <c r="O18" s="45" t="str">
        <f t="shared" ref="O18:O20" ca="1" si="16">_xlfn.FORMULATEXT(N18)</f>
        <v>=IF($B$15="C",MAX(N17-$B$8,EXP(-$B$9*$B$12)*(($B$18*Q14)+($B$19*Q22))),MAX($B$8-N17,EXP(-$B$9*$B$12)*(($B$18*Q14)+($B$19*Q22))))</v>
      </c>
      <c r="Q18" s="19"/>
      <c r="V18" s="21"/>
      <c r="Y18" s="41">
        <f>X17*$B$17</f>
        <v>21.681125460660176</v>
      </c>
      <c r="Z18" s="41">
        <f>Y17*$B$17</f>
        <v>23.92</v>
      </c>
      <c r="AA18" s="41">
        <f>Z17*(1-$B$27)*$B$17</f>
        <v>26.018628919590377</v>
      </c>
      <c r="AB18" s="41">
        <f t="shared" ref="Z18:AB21" si="17">AA17*$B$17</f>
        <v>28.7054103757606</v>
      </c>
      <c r="AC18" s="5" t="str">
        <f t="shared" ca="1" si="15"/>
        <v>=AA17*$B$17</v>
      </c>
    </row>
    <row r="19" spans="1:29" ht="20.5" x14ac:dyDescent="0.45">
      <c r="A19" s="1" t="s">
        <v>49</v>
      </c>
      <c r="B19" s="32">
        <f>1-B18</f>
        <v>0.52106802176473621</v>
      </c>
      <c r="C19" s="5" t="str">
        <f t="shared" ca="1" si="13"/>
        <v>=1-B18</v>
      </c>
      <c r="G19" s="1" t="s">
        <v>96</v>
      </c>
      <c r="H19" s="52">
        <f>IF($B$15="C",MAX(H17-$B$8,0),MAX($B$8-H17,0))</f>
        <v>1.3900691427749337</v>
      </c>
      <c r="I19" s="45" t="str">
        <f t="shared" ca="1" si="14"/>
        <v>=IF($B$15="C",MAX(H17-$B$8,0),MAX($B$8-H17,0))</v>
      </c>
      <c r="M19" s="1" t="s">
        <v>96</v>
      </c>
      <c r="N19" s="52">
        <f>IF($B$15="C",MAX(N17-$B$8,0),MAX($B$8-N17,0))</f>
        <v>1.0186289195903768</v>
      </c>
      <c r="O19" s="45" t="str">
        <f t="shared" ca="1" si="16"/>
        <v>=IF($B$15="C",MAX(N17-$B$8,0),MAX($B$8-N17,0))</v>
      </c>
      <c r="Q19" s="19"/>
      <c r="V19" s="21"/>
      <c r="Y19" s="5" t="str">
        <f ca="1">_xlfn.FORMULATEXT(Y18)</f>
        <v>=X17*$B$17</v>
      </c>
      <c r="Z19" s="41">
        <f t="shared" si="17"/>
        <v>19.651806071943433</v>
      </c>
      <c r="AA19" s="41">
        <f t="shared" ref="AA19:AA20" si="18">Z18*(1-$B$27)*$B$17</f>
        <v>21.375963619801386</v>
      </c>
      <c r="AB19" s="41">
        <f t="shared" si="17"/>
        <v>23.583326000000003</v>
      </c>
      <c r="AC19" s="5" t="str">
        <f t="shared" ca="1" si="15"/>
        <v>=AA18*$B$17</v>
      </c>
    </row>
    <row r="20" spans="1:29" ht="20.5" x14ac:dyDescent="0.45">
      <c r="J20" s="1" t="s">
        <v>105</v>
      </c>
      <c r="K20" s="43">
        <f>K21*(1-$B$27)</f>
        <v>23.583326000000003</v>
      </c>
      <c r="L20" s="45" t="str">
        <f t="shared" ref="L20:L23" ca="1" si="19">_xlfn.FORMULATEXT(K20)</f>
        <v>=K21*(1-$B$27)</v>
      </c>
      <c r="M20" s="1" t="s">
        <v>126</v>
      </c>
      <c r="N20" s="41">
        <f>EXP(-$B$9*$B$12)*(($B$18*Q14)+($B$19*Q22))</f>
        <v>1.7734244310892986</v>
      </c>
      <c r="O20" s="45" t="str">
        <f t="shared" ca="1" si="16"/>
        <v>=EXP(-$B$9*$B$12)*(($B$18*Q14)+($B$19*Q22))</v>
      </c>
      <c r="Q20" s="19"/>
      <c r="V20" s="21"/>
      <c r="Z20" s="71" t="str">
        <f ca="1">_xlfn.FORMULATEXT(Z19)</f>
        <v>=Y18*$B$17</v>
      </c>
      <c r="AA20" s="41">
        <f t="shared" si="18"/>
        <v>17.561717878647773</v>
      </c>
      <c r="AB20" s="41">
        <f t="shared" si="17"/>
        <v>19.37520690148083</v>
      </c>
      <c r="AC20" s="5" t="str">
        <f t="shared" ca="1" si="15"/>
        <v>=AA19*$B$17</v>
      </c>
    </row>
    <row r="21" spans="1:29" ht="24" x14ac:dyDescent="0.6">
      <c r="A21" s="40" t="s">
        <v>59</v>
      </c>
      <c r="B21" s="38">
        <f>E22</f>
        <v>1.3676446200433277</v>
      </c>
      <c r="D21" s="4" t="s">
        <v>8</v>
      </c>
      <c r="E21" s="6">
        <f>B4</f>
        <v>23.92</v>
      </c>
      <c r="F21" s="45" t="str">
        <f t="shared" ref="F21:F23" ca="1" si="20">_xlfn.FORMULATEXT(E21)</f>
        <v>=B4</v>
      </c>
      <c r="J21" s="1" t="s">
        <v>73</v>
      </c>
      <c r="K21" s="28">
        <f>H17*$B$17</f>
        <v>23.92</v>
      </c>
      <c r="L21" s="45" t="str">
        <f t="shared" ca="1" si="19"/>
        <v>=H17*$B$17</v>
      </c>
      <c r="N21" s="19"/>
      <c r="P21" s="1" t="s">
        <v>83</v>
      </c>
      <c r="Q21" s="29">
        <f>N17*$B$17</f>
        <v>23.583326000000003</v>
      </c>
      <c r="R21" s="45" t="str">
        <f t="shared" ref="R21:R22" ca="1" si="21">_xlfn.FORMULATEXT(Q21)</f>
        <v>=N17*$B$17</v>
      </c>
      <c r="V21" s="21"/>
      <c r="AB21" s="41">
        <f t="shared" si="17"/>
        <v>15.917968588280988</v>
      </c>
      <c r="AC21" s="5" t="str">
        <f t="shared" ca="1" si="15"/>
        <v>=AA20*$B$17</v>
      </c>
    </row>
    <row r="22" spans="1:29" ht="20.5" x14ac:dyDescent="0.45">
      <c r="D22" s="4" t="s">
        <v>59</v>
      </c>
      <c r="E22" s="35">
        <f>IF($B$15="C",MAX(E21-$B$8,EXP(-$B$9*$B$12)*(($B$18*H18)+($B$19*H26))),MAX($B$8-E21,EXP(-$B$9*$B$12)*(($B$18*H18)+($B$19*H26))))</f>
        <v>1.3676446200433277</v>
      </c>
      <c r="F22" s="45" t="str">
        <f t="shared" ca="1" si="20"/>
        <v>=IF($B$15="C",MAX(E21-$B$8,EXP(-$B$9*$B$12)*(($B$18*H18)+($B$19*H26))),MAX($B$8-E21,EXP(-$B$9*$B$12)*(($B$18*H18)+($B$19*H26))))</v>
      </c>
      <c r="J22" s="1" t="s">
        <v>110</v>
      </c>
      <c r="K22" s="35">
        <f>IF($B$15="C",MAX(K21-$B$8,EXP(-$B$9*$B$12)*(($B$18*N18)+($B$19*N26))),MAX($B$8-K20,EXP(-$B$9*$B$12)*(($B$18*N18)+($B$19*N26))))</f>
        <v>0.84876812386504685</v>
      </c>
      <c r="L22" s="45" t="str">
        <f t="shared" ca="1" si="19"/>
        <v>=IF($B$15="C",MAX(K21-$B$8,EXP(-$B$9*$B$12)*(($B$18*N18)+($B$19*N26))),MAX($B$8-K20,EXP(-$B$9*$B$12)*(($B$18*N18)+($B$19*N26))))</v>
      </c>
      <c r="N22" s="19"/>
      <c r="P22" s="1" t="s">
        <v>118</v>
      </c>
      <c r="Q22" s="35">
        <f>IF($B$15="C",MAX(Q21-$B$8,0),MAX($B$8-Q21,0))</f>
        <v>0</v>
      </c>
      <c r="R22" s="45" t="str">
        <f t="shared" ca="1" si="21"/>
        <v>=IF($B$15="C",MAX(Q21-$B$8,0),MAX($B$8-Q21,0))</v>
      </c>
      <c r="V22" s="21"/>
      <c r="AA22" s="5" t="str">
        <f ca="1">_xlfn.FORMULATEXT(AA20)</f>
        <v>=Z19*(1-$B$27)*$B$17</v>
      </c>
    </row>
    <row r="23" spans="1:29" ht="20.5" x14ac:dyDescent="0.45">
      <c r="D23" s="1" t="s">
        <v>96</v>
      </c>
      <c r="E23" s="52">
        <f>IF($B$15="C",MAX(E21-$B$8,0),MAX($B$8-E21,0))</f>
        <v>0</v>
      </c>
      <c r="F23" s="45" t="str">
        <f t="shared" ca="1" si="20"/>
        <v>=IF($B$15="C",MAX(E21-$B$8,0),MAX($B$8-E21,0))</v>
      </c>
      <c r="J23" s="1" t="s">
        <v>96</v>
      </c>
      <c r="K23" s="52">
        <f>IF($B$15="C",MAX(K21-$B$8,0),MAX($B$8-K20,0))</f>
        <v>0</v>
      </c>
      <c r="L23" s="45" t="str">
        <f t="shared" ca="1" si="19"/>
        <v>=IF($B$15="C",MAX(K21-$B$8,0),MAX($B$8-K20,0))</v>
      </c>
      <c r="N23" s="19"/>
      <c r="Q23" s="19"/>
      <c r="V23" s="21"/>
      <c r="AA23" s="1" t="str">
        <f ca="1">_xlfn.FORMULATEXT(AA26)</f>
        <v>=IF($B$15="C",MAX(AA17-$B$8,EXP(-$B$9*$B$12)*(($B$18*AB26)+($B$19*AB27))),MAX($B$8-AA8,EXP(-$B$9*$B$12)*(($B$18*AB26)+($B$19*AB27))))</v>
      </c>
    </row>
    <row r="24" spans="1:29" x14ac:dyDescent="0.4">
      <c r="N24" s="19"/>
      <c r="Q24" s="19"/>
      <c r="V24" s="21"/>
      <c r="X24" s="72" t="s">
        <v>91</v>
      </c>
      <c r="Y24" s="72"/>
      <c r="Z24" s="72"/>
      <c r="AA24" s="72"/>
      <c r="AB24" s="72"/>
    </row>
    <row r="25" spans="1:29" ht="20.5" x14ac:dyDescent="0.45">
      <c r="G25" s="1" t="s">
        <v>2</v>
      </c>
      <c r="H25" s="29">
        <f>E21*$B$17</f>
        <v>21.681125460660176</v>
      </c>
      <c r="I25" s="45" t="str">
        <f t="shared" ref="I25:I27" ca="1" si="22">_xlfn.FORMULATEXT(H25)</f>
        <v>=E21*$B$17</v>
      </c>
      <c r="M25" s="1" t="s">
        <v>80</v>
      </c>
      <c r="N25" s="29">
        <f>K20*$B$17</f>
        <v>21.375963619801386</v>
      </c>
      <c r="O25" s="45" t="str">
        <f ca="1">_xlfn.FORMULATEXT(N25)</f>
        <v>=K20*$B$17</v>
      </c>
      <c r="Q25" s="19"/>
      <c r="V25" s="21"/>
      <c r="X25" s="34">
        <v>0</v>
      </c>
      <c r="Y25" s="34">
        <v>1</v>
      </c>
      <c r="Z25" s="46">
        <v>2</v>
      </c>
      <c r="AA25" s="34">
        <v>3</v>
      </c>
      <c r="AB25" s="34">
        <v>4</v>
      </c>
    </row>
    <row r="26" spans="1:29" ht="20.5" x14ac:dyDescent="0.45">
      <c r="A26" s="1" t="s">
        <v>101</v>
      </c>
      <c r="B26" s="8">
        <v>5.6300000000000003E-2</v>
      </c>
      <c r="G26" s="1" t="s">
        <v>3</v>
      </c>
      <c r="H26" s="35">
        <f>IF($B$15="C",MAX(H25-$B$8,EXP(-$B$9*$B$12)*(($B$18*K22)+($B$19*K30))),MAX($B$8-H25,EXP(-$B$9*$B$12)*(($B$18*K22)+($B$19*K30))))</f>
        <v>0.40622386579330722</v>
      </c>
      <c r="I26" s="45" t="str">
        <f t="shared" ca="1" si="22"/>
        <v>=IF($B$15="C",MAX(H25-$B$8,EXP(-$B$9*$B$12)*(($B$18*K22)+($B$19*K30))),MAX($B$8-H25,EXP(-$B$9*$B$12)*(($B$18*K22)+($B$19*K30))))</v>
      </c>
      <c r="M26" s="1" t="s">
        <v>114</v>
      </c>
      <c r="N26" s="35">
        <f>IF($B$15="C",MAX(N25-$B$8,EXP(-$B$9*$B$12)*(($B$18*Q22)+($B$19*Q30))),MAX($B$8-N25,EXP(-$B$9*$B$12)*(($B$18*Q22)+($B$19*Q30))))</f>
        <v>0</v>
      </c>
      <c r="O26" s="45" t="str">
        <f t="shared" ref="O26:O28" ca="1" si="23">_xlfn.FORMULATEXT(N26)</f>
        <v>=IF($B$15="C",MAX(N25-$B$8,EXP(-$B$9*$B$12)*(($B$18*Q22)+($B$19*Q30))),MAX($B$8-N25,EXP(-$B$9*$B$12)*(($B$18*Q22)+($B$19*Q30))))</v>
      </c>
      <c r="Q26" s="19"/>
      <c r="V26" s="21"/>
      <c r="X26" s="35">
        <f t="shared" ref="X26:Y27" si="24">IF($B$15="C",MAX(X17-$B$8,EXP(-$B$9*$B$12)*(($B$18*Y26)+($B$19*Y27))),MAX($B$8-X8,EXP(-$B$9*$B$12)*(($B$18*Y26)+($B$19*Y27))))</f>
        <v>1.3676446200433277</v>
      </c>
      <c r="Y26" s="35">
        <f t="shared" si="24"/>
        <v>2.4156069551458015</v>
      </c>
      <c r="Z26" s="35">
        <f>IF($B$15="C",MAX(Z17-$B$8,EXP(-$B$9*$B$12)*(($B$18*AA26)+($B$19*AA27))),MAX($B$8-Z8,EXP(-$B$9*$B$12)*(($B$18*AA26)+($B$19*AA27))))</f>
        <v>4.1237507824037891</v>
      </c>
      <c r="AA26" s="35">
        <f>IF($B$15="C",MAX(AA17-$B$8,EXP(-$B$9*$B$12)*(($B$18*AB26)+($B$19*AB27))),MAX($B$8-AA8,EXP(-$B$9*$B$12)*(($B$18*AB26)+($B$19*AB27))))</f>
        <v>6.686756412665015</v>
      </c>
      <c r="AB26" s="35">
        <f>IF($B$15="C",MAX(AB17-$B$8,0),MAX($B$8-AB8,0))</f>
        <v>9.9399649922502107</v>
      </c>
      <c r="AC26" s="5" t="str">
        <f t="shared" ref="AC26:AC30" ca="1" si="25">_xlfn.FORMULATEXT(AB26)</f>
        <v>=IF($B$15="C",MAX(AB17-$B$8,0),MAX($B$8-AB8,0))</v>
      </c>
    </row>
    <row r="27" spans="1:29" ht="20.5" x14ac:dyDescent="0.45">
      <c r="A27" s="1" t="s">
        <v>107</v>
      </c>
      <c r="B27" s="49">
        <f>B26/4</f>
        <v>1.4075000000000001E-2</v>
      </c>
      <c r="C27" s="5" t="str">
        <f t="shared" ref="C27:C30" ca="1" si="26">_xlfn.FORMULATEXT(B27)</f>
        <v>=B26/4</v>
      </c>
      <c r="G27" s="1" t="s">
        <v>96</v>
      </c>
      <c r="H27" s="52">
        <f>IF($B$15="C",MAX(H25-$B$8,0),MAX($B$8-H25,0))</f>
        <v>0</v>
      </c>
      <c r="I27" s="45" t="str">
        <f t="shared" ca="1" si="22"/>
        <v>=IF($B$15="C",MAX(H25-$B$8,0),MAX($B$8-H25,0))</v>
      </c>
      <c r="M27" s="1" t="s">
        <v>96</v>
      </c>
      <c r="N27" s="52">
        <f>IF($B$15="C",MAX(N25-$B$8,0),MAX($B$8-N25,0))</f>
        <v>0</v>
      </c>
      <c r="O27" s="45" t="str">
        <f t="shared" ca="1" si="23"/>
        <v>=IF($B$15="C",MAX(N25-$B$8,0),MAX($B$8-N25,0))</v>
      </c>
      <c r="Q27" s="19"/>
      <c r="V27" s="21"/>
      <c r="Y27" s="35">
        <f t="shared" si="24"/>
        <v>0.40622386579330722</v>
      </c>
      <c r="Z27" s="35">
        <f t="shared" ref="Z27" si="27">IF($B$15="C",MAX(Z18-$B$8,EXP(-$B$9*$B$12)*(($B$18*AA27)+($B$19*AA28))),MAX($B$8-Z9,EXP(-$B$9*$B$12)*(($B$18*AA27)+($B$19*AA28))))</f>
        <v>0.84876812386504685</v>
      </c>
      <c r="AA27" s="35">
        <f t="shared" ref="AA27" si="28">IF($B$15="C",MAX(AA18-$B$8,EXP(-$B$9*$B$12)*(($B$18*AB27)+($B$19*AB28))),MAX($B$8-AA9,EXP(-$B$9*$B$12)*(($B$18*AB27)+($B$19*AB28))))</f>
        <v>1.7734244310892986</v>
      </c>
      <c r="AB27" s="35">
        <f t="shared" ref="AB27:AB30" si="29">IF($B$15="C",MAX(AB18-$B$8,0),MAX($B$8-AB9,0))</f>
        <v>3.7054103757606001</v>
      </c>
      <c r="AC27" s="5" t="str">
        <f t="shared" ca="1" si="25"/>
        <v>=IF($B$15="C",MAX(AB18-$B$8,0),MAX($B$8-AB9,0))</v>
      </c>
    </row>
    <row r="28" spans="1:29" ht="20.5" x14ac:dyDescent="0.45">
      <c r="A28" s="1" t="s">
        <v>100</v>
      </c>
      <c r="B28" s="50">
        <f>B27*B4</f>
        <v>0.33667400000000003</v>
      </c>
      <c r="C28" s="5" t="str">
        <f t="shared" ca="1" si="26"/>
        <v>=B27*B4</v>
      </c>
      <c r="J28" s="1" t="s">
        <v>106</v>
      </c>
      <c r="K28" s="43">
        <f>K29*(1-$B$27)</f>
        <v>19.37520690148083</v>
      </c>
      <c r="L28" s="45" t="str">
        <f t="shared" ref="L28:L31" ca="1" si="30">_xlfn.FORMULATEXT(K28)</f>
        <v>=K29*(1-$B$27)</v>
      </c>
      <c r="M28" s="1" t="s">
        <v>126</v>
      </c>
      <c r="N28" s="41">
        <f>EXP(-$B$9*$B$12)*(($B$18*Q22)+($B$19*Q30))</f>
        <v>0</v>
      </c>
      <c r="O28" s="45" t="str">
        <f t="shared" ca="1" si="23"/>
        <v>=EXP(-$B$9*$B$12)*(($B$18*Q22)+($B$19*Q30))</v>
      </c>
      <c r="Q28" s="19"/>
      <c r="V28" s="21"/>
      <c r="Z28" s="35">
        <f t="shared" ref="Z28" si="31">IF($B$15="C",MAX(Z19-$B$8,EXP(-$B$9*$B$12)*(($B$18*AA28)+($B$19*AA29))),MAX($B$8-Z10,EXP(-$B$9*$B$12)*(($B$18*AA28)+($B$19*AA29))))</f>
        <v>0</v>
      </c>
      <c r="AA28" s="35">
        <f t="shared" ref="AA28" si="32">IF($B$15="C",MAX(AA19-$B$8,EXP(-$B$9*$B$12)*(($B$18*AB28)+($B$19*AB29))),MAX($B$8-AA10,EXP(-$B$9*$B$12)*(($B$18*AB28)+($B$19*AB29))))</f>
        <v>0</v>
      </c>
      <c r="AB28" s="35">
        <f t="shared" si="29"/>
        <v>0</v>
      </c>
      <c r="AC28" s="5" t="str">
        <f t="shared" ca="1" si="25"/>
        <v>=IF($B$15="C",MAX(AB19-$B$8,0),MAX($B$8-AB10,0))</v>
      </c>
    </row>
    <row r="29" spans="1:29" ht="20.5" x14ac:dyDescent="0.45">
      <c r="A29" s="1" t="s">
        <v>120</v>
      </c>
      <c r="B29" s="3">
        <v>44238</v>
      </c>
      <c r="J29" s="1" t="s">
        <v>75</v>
      </c>
      <c r="K29" s="29">
        <f>H25*$B$17</f>
        <v>19.651806071943433</v>
      </c>
      <c r="L29" s="45" t="str">
        <f t="shared" ca="1" si="30"/>
        <v>=H25*$B$17</v>
      </c>
      <c r="N29" s="19"/>
      <c r="P29" s="1" t="s">
        <v>84</v>
      </c>
      <c r="Q29" s="29">
        <f>N25*$B$17</f>
        <v>19.37520690148083</v>
      </c>
      <c r="R29" s="5" t="str">
        <f ca="1">_xlfn.FORMULATEXT(Q29)</f>
        <v>=N25*$B$17</v>
      </c>
      <c r="V29" s="21"/>
      <c r="AA29" s="35">
        <f t="shared" ref="AA29" si="33">IF($B$15="C",MAX(AA20-$B$8,EXP(-$B$9*$B$12)*(($B$18*AB29)+($B$19*AB30))),MAX($B$8-AA11,EXP(-$B$9*$B$12)*(($B$18*AB29)+($B$19*AB30))))</f>
        <v>0</v>
      </c>
      <c r="AB29" s="35">
        <f t="shared" si="29"/>
        <v>0</v>
      </c>
      <c r="AC29" s="5" t="str">
        <f t="shared" ca="1" si="25"/>
        <v>=IF($B$15="C",MAX(AB20-$B$8,0),MAX($B$8-AB11,0))</v>
      </c>
    </row>
    <row r="30" spans="1:29" ht="20.5" x14ac:dyDescent="0.45">
      <c r="A30" s="1" t="s">
        <v>155</v>
      </c>
      <c r="B30" s="70">
        <f>INT(B29)</f>
        <v>44238</v>
      </c>
      <c r="C30" s="5" t="str">
        <f t="shared" ca="1" si="26"/>
        <v>=INT(B29)</v>
      </c>
      <c r="J30" s="1" t="s">
        <v>111</v>
      </c>
      <c r="K30" s="35">
        <f>IF($B$15="C",MAX(K29-$B$8,EXP(-$B$9*$B$12)*(($B$18*N26)+($B$19*N34))),MAX($B$8-K28,EXP(-$B$9*$B$12)*(($B$18*N26)+($B$19*N34))))</f>
        <v>0</v>
      </c>
      <c r="L30" s="45" t="str">
        <f t="shared" ca="1" si="30"/>
        <v>=IF($B$15="C",MAX(K29-$B$8,EXP(-$B$9*$B$12)*(($B$18*N26)+($B$19*N34))),MAX($B$8-K28,EXP(-$B$9*$B$12)*(($B$18*N26)+($B$19*N34))))</v>
      </c>
      <c r="N30" s="19"/>
      <c r="P30" s="1" t="s">
        <v>117</v>
      </c>
      <c r="Q30" s="35">
        <f>IF($B$15="C",MAX(Q29-$B$8,0),MAX($B$8-Q29,0))</f>
        <v>0</v>
      </c>
      <c r="R30" s="5" t="str">
        <f ca="1">_xlfn.FORMULATEXT(Q30)</f>
        <v>=IF($B$15="C",MAX(Q29-$B$8,0),MAX($B$8-Q29,0))</v>
      </c>
      <c r="V30" s="21"/>
      <c r="AB30" s="35">
        <f t="shared" si="29"/>
        <v>0</v>
      </c>
      <c r="AC30" s="5" t="str">
        <f t="shared" ca="1" si="25"/>
        <v>=IF($B$15="C",MAX(AB21-$B$8,0),MAX($B$8-AB12,0))</v>
      </c>
    </row>
    <row r="31" spans="1:29" ht="20.5" x14ac:dyDescent="0.45">
      <c r="J31" s="1" t="s">
        <v>96</v>
      </c>
      <c r="K31" s="52">
        <f>IF($B$15="C",MAX(K29-$B$8,0),MAX($B$8-K28,0))</f>
        <v>0</v>
      </c>
      <c r="L31" s="45" t="str">
        <f t="shared" ca="1" si="30"/>
        <v>=IF($B$15="C",MAX(K29-$B$8,0),MAX($B$8-K28,0))</v>
      </c>
      <c r="N31" s="19"/>
      <c r="Q31" s="19"/>
      <c r="V31" s="21"/>
    </row>
    <row r="32" spans="1:29" x14ac:dyDescent="0.4">
      <c r="N32" s="19"/>
      <c r="Q32" s="19"/>
      <c r="V32" s="21"/>
    </row>
    <row r="33" spans="1:27" ht="20.5" x14ac:dyDescent="0.45">
      <c r="A33" s="47" t="s">
        <v>122</v>
      </c>
      <c r="B33" s="48" t="s">
        <v>59</v>
      </c>
      <c r="C33" s="48" t="s">
        <v>121</v>
      </c>
      <c r="M33" s="1" t="s">
        <v>81</v>
      </c>
      <c r="N33" s="29">
        <f>K28*$B$17</f>
        <v>17.561717878647773</v>
      </c>
      <c r="O33" s="45" t="str">
        <f ca="1">_xlfn.FORMULATEXT(N33)</f>
        <v>=K28*$B$17</v>
      </c>
      <c r="Q33" s="19"/>
      <c r="V33" s="21"/>
      <c r="AA33" s="5" t="str">
        <f ca="1">_xlfn.FORMULATEXT(AA29)</f>
        <v>=IF($B$15="C",MAX(AA20-$B$8,EXP(-$B$9*$B$12)*(($B$18*AB29)+($B$19*AB30))),MAX($B$8-AA11,EXP(-$B$9*$B$12)*(($B$18*AB29)+($B$19*AB30))))</v>
      </c>
    </row>
    <row r="34" spans="1:27" ht="20.5" x14ac:dyDescent="0.45">
      <c r="A34" s="1" t="s">
        <v>123</v>
      </c>
      <c r="B34" s="2">
        <v>1.39</v>
      </c>
      <c r="C34" s="44">
        <v>0.3755</v>
      </c>
      <c r="M34" s="1" t="s">
        <v>115</v>
      </c>
      <c r="N34" s="35">
        <f>IF($B$15="C",MAX(N33-$B$8,EXP(-$B$9*$B$12)*(($B$18*Q30)+($B$19*Q38))),MAX($B$8-N33,EXP(-$B$9*$B$12)*(($B$18*Q30)+($B$19*Q38))))</f>
        <v>0</v>
      </c>
      <c r="O34" s="45" t="str">
        <f t="shared" ref="O34:O36" ca="1" si="34">_xlfn.FORMULATEXT(N34)</f>
        <v>=IF($B$15="C",MAX(N33-$B$8,EXP(-$B$9*$B$12)*(($B$18*Q30)+($B$19*Q38))),MAX($B$8-N33,EXP(-$B$9*$B$12)*(($B$18*Q30)+($B$19*Q38))))</v>
      </c>
      <c r="Q34" s="19"/>
      <c r="V34" s="21"/>
    </row>
    <row r="35" spans="1:27" ht="20.5" x14ac:dyDescent="0.45">
      <c r="A35" s="1" t="s">
        <v>124</v>
      </c>
      <c r="B35" s="2">
        <v>2.64</v>
      </c>
      <c r="C35" s="44">
        <v>0.38</v>
      </c>
      <c r="M35" s="1" t="s">
        <v>96</v>
      </c>
      <c r="N35" s="52">
        <f>IF($B$15="C",MAX(N33-$B$8,0),MAX($B$8-N33,0))</f>
        <v>0</v>
      </c>
      <c r="O35" s="45" t="str">
        <f t="shared" ca="1" si="34"/>
        <v>=IF($B$15="C",MAX(N33-$B$8,0),MAX($B$8-N33,0))</v>
      </c>
      <c r="Q35" s="19"/>
      <c r="V35" s="21"/>
    </row>
    <row r="36" spans="1:27" ht="20.5" x14ac:dyDescent="0.45">
      <c r="M36" s="1" t="s">
        <v>126</v>
      </c>
      <c r="N36" s="41">
        <f>EXP(-$B$9*$B$12)*(($B$18*Q30)+($B$19*Q38))</f>
        <v>0</v>
      </c>
      <c r="O36" s="45" t="str">
        <f t="shared" ca="1" si="34"/>
        <v>=EXP(-$B$9*$B$12)*(($B$18*Q30)+($B$19*Q38))</v>
      </c>
      <c r="Q36" s="19"/>
      <c r="V36" s="21"/>
    </row>
    <row r="37" spans="1:27" ht="20.5" x14ac:dyDescent="0.45">
      <c r="N37" s="19"/>
      <c r="P37" s="1" t="s">
        <v>85</v>
      </c>
      <c r="Q37" s="29">
        <f>N33*$B$17</f>
        <v>15.917968588280988</v>
      </c>
      <c r="R37" s="5" t="str">
        <f ca="1">_xlfn.FORMULATEXT(Q37)</f>
        <v>=N33*$B$17</v>
      </c>
      <c r="V37" s="21"/>
    </row>
    <row r="38" spans="1:27" ht="20.5" x14ac:dyDescent="0.45">
      <c r="N38" s="19"/>
      <c r="P38" s="1" t="s">
        <v>116</v>
      </c>
      <c r="Q38" s="35">
        <f>IF($B$15="C",MAX(Q37-$B$8,0),MAX($B$8-Q37,0))</f>
        <v>0</v>
      </c>
      <c r="R38" s="5" t="str">
        <f ca="1">_xlfn.FORMULATEXT(Q38)</f>
        <v>=IF($B$15="C",MAX(Q37-$B$8,0),MAX($B$8-Q37,0))</v>
      </c>
      <c r="V38" s="21"/>
    </row>
    <row r="39" spans="1:27" x14ac:dyDescent="0.4">
      <c r="N39" s="19"/>
      <c r="Q39" s="19"/>
      <c r="V39" s="21"/>
    </row>
    <row r="40" spans="1:27" x14ac:dyDescent="0.4">
      <c r="N40" s="19"/>
      <c r="Q40" s="19"/>
      <c r="V40" s="21"/>
    </row>
    <row r="41" spans="1:27" x14ac:dyDescent="0.4">
      <c r="K41" s="1" t="s">
        <v>127</v>
      </c>
      <c r="N41" s="19"/>
      <c r="Q41" s="19"/>
      <c r="V41" s="21"/>
    </row>
    <row r="42" spans="1:27" ht="20.5" x14ac:dyDescent="0.45">
      <c r="K42" s="5" t="str">
        <f ca="1">_xlfn.FORMULATEXT(K28)</f>
        <v>=K29*(1-$B$27)</v>
      </c>
      <c r="N42" s="19"/>
      <c r="Q42" s="19"/>
      <c r="V42" s="21"/>
    </row>
    <row r="43" spans="1:27" ht="20.5" x14ac:dyDescent="0.45">
      <c r="K43" s="5" t="str">
        <f ca="1">_xlfn.FORMULATEXT(K29)</f>
        <v>=H25*$B$17</v>
      </c>
      <c r="N43" s="19"/>
      <c r="Q43" s="19"/>
      <c r="V43" s="21"/>
    </row>
    <row r="44" spans="1:27" ht="20.5" x14ac:dyDescent="0.45">
      <c r="K44" s="5" t="str">
        <f ca="1">_xlfn.FORMULATEXT(K30)</f>
        <v>=IF($B$15="C",MAX(K29-$B$8,EXP(-$B$9*$B$12)*(($B$18*N26)+($B$19*N34))),MAX($B$8-K28,EXP(-$B$9*$B$12)*(($B$18*N26)+($B$19*N34))))</v>
      </c>
      <c r="N44" s="19"/>
      <c r="Q44" s="19"/>
      <c r="V44" s="21"/>
    </row>
    <row r="45" spans="1:27" ht="20.5" x14ac:dyDescent="0.45">
      <c r="K45" s="5" t="str">
        <f ca="1">_xlfn.FORMULATEXT(K31)</f>
        <v>=IF($B$15="C",MAX(K29-$B$8,0),MAX($B$8-K28,0))</v>
      </c>
      <c r="N45" s="19"/>
      <c r="Q45" s="19"/>
      <c r="V45" s="21"/>
    </row>
  </sheetData>
  <mergeCells count="3">
    <mergeCell ref="X6:AB6"/>
    <mergeCell ref="X24:AB24"/>
    <mergeCell ref="X15:AB15"/>
  </mergeCells>
  <pageMargins left="0.7" right="0.7" top="0.75" bottom="0.75" header="0.3" footer="0.3"/>
  <pageSetup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Binomial</vt:lpstr>
      <vt:lpstr>Binomial 2</vt:lpstr>
      <vt:lpstr>Binomial 3</vt:lpstr>
      <vt:lpstr>Binomial American - No Income</vt:lpstr>
      <vt:lpstr>Binomial American - Income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Cara Spicer</dc:creator>
  <cp:lastModifiedBy>David Corcoran</cp:lastModifiedBy>
  <dcterms:created xsi:type="dcterms:W3CDTF">2021-01-07T17:12:39Z</dcterms:created>
  <dcterms:modified xsi:type="dcterms:W3CDTF">2023-08-23T20:52:46Z</dcterms:modified>
</cp:coreProperties>
</file>