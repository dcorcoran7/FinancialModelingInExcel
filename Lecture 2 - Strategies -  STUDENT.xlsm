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workbookPr codeName="ThisWorkbook"/>
  <mc:AlternateContent xmlns:mc="http://schemas.openxmlformats.org/markup-compatibility/2006">
    <mc:Choice Requires="x15">
      <x15ac:absPath xmlns:x15ac="http://schemas.microsoft.com/office/spreadsheetml/2010/11/ac" url="https://d.docs.live.net/549bec91a8651c45/Documents/Virginia Tech/4 - Senior - 1st Semester/Fin Modeling In Excel/3. Options Strategies/"/>
    </mc:Choice>
  </mc:AlternateContent>
  <xr:revisionPtr revIDLastSave="350" documentId="13_ncr:1_{ACDE8E16-F458-474F-A3FE-D5472376AFA0}" xr6:coauthVersionLast="47" xr6:coauthVersionMax="47" xr10:uidLastSave="{3575EEA3-C9FA-42E9-9809-82462CB904A8}"/>
  <bookViews>
    <workbookView xWindow="-110" yWindow="-110" windowWidth="22780" windowHeight="14660" activeTab="1" xr2:uid="{00000000-000D-0000-FFFF-FFFF00000000}"/>
  </bookViews>
  <sheets>
    <sheet name="Option Payoffs" sheetId="2" r:id="rId1"/>
    <sheet name=" Strategies" sheetId="1" r:id="rId2"/>
  </sheets>
  <definedNames>
    <definedName name="riskfree">' Strategies'!$C$8</definedName>
    <definedName name="stockatT">' Strategies'!$C$10</definedName>
    <definedName name="stocktime0">' Strategies'!$C$5</definedName>
    <definedName name="time">' Strategies'!$C$7</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1" i="1" l="1"/>
  <c r="C36" i="1" s="1"/>
  <c r="L25" i="1"/>
  <c r="H31" i="1"/>
  <c r="H9" i="1"/>
  <c r="I9" i="1" s="1"/>
  <c r="I20" i="1"/>
  <c r="J20" i="1" s="1"/>
  <c r="H20" i="1"/>
  <c r="H21" i="1" s="1"/>
  <c r="B38" i="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G24" i="1"/>
  <c r="H24" i="1"/>
  <c r="I24" i="1"/>
  <c r="H13" i="1"/>
  <c r="G13" i="1"/>
  <c r="I21" i="1"/>
  <c r="G21" i="1"/>
  <c r="H10" i="1"/>
  <c r="G10" i="1"/>
  <c r="I15" i="2"/>
  <c r="K19" i="2" s="1"/>
  <c r="I14" i="2"/>
  <c r="I12" i="2"/>
  <c r="H19" i="2" s="1"/>
  <c r="I11" i="2"/>
  <c r="I8" i="2"/>
  <c r="E19" i="2" s="1"/>
  <c r="I7" i="2"/>
  <c r="I5" i="2"/>
  <c r="B19" i="2" s="1"/>
  <c r="I4" i="2"/>
  <c r="C7" i="1"/>
  <c r="R14" i="1"/>
  <c r="R15" i="1"/>
  <c r="D7" i="1"/>
  <c r="J11" i="2"/>
  <c r="R25" i="1"/>
  <c r="J15" i="2"/>
  <c r="P17" i="1"/>
  <c r="R26" i="1"/>
  <c r="J12" i="2"/>
  <c r="J8" i="2"/>
  <c r="J4" i="2"/>
  <c r="P30" i="1"/>
  <c r="J31" i="1"/>
  <c r="J14" i="2"/>
  <c r="G16" i="1"/>
  <c r="R24" i="1"/>
  <c r="G7" i="1"/>
  <c r="P28" i="1"/>
  <c r="R13" i="1"/>
  <c r="J5" i="2"/>
  <c r="J7" i="2"/>
  <c r="G27" i="1"/>
  <c r="J9" i="1" l="1"/>
  <c r="I10" i="1"/>
  <c r="I14" i="1" s="1"/>
  <c r="I13" i="1"/>
  <c r="K20" i="1"/>
  <c r="J24" i="1"/>
  <c r="J21" i="1"/>
  <c r="J25" i="1" s="1"/>
  <c r="H14" i="1"/>
  <c r="H15" i="1" s="1"/>
  <c r="G25" i="1"/>
  <c r="G26" i="1" s="1"/>
  <c r="G14" i="1"/>
  <c r="G15" i="1" s="1"/>
  <c r="I25" i="1"/>
  <c r="I26" i="1" s="1"/>
  <c r="H25" i="1"/>
  <c r="H26" i="1" s="1"/>
  <c r="I15" i="1" l="1"/>
  <c r="J10" i="1"/>
  <c r="J14" i="1" s="1"/>
  <c r="J13" i="1"/>
  <c r="K9" i="1"/>
  <c r="J26" i="1"/>
  <c r="K24" i="1"/>
  <c r="K21" i="1"/>
  <c r="K25" i="1" s="1"/>
  <c r="L20" i="1"/>
  <c r="J15" i="1" l="1"/>
  <c r="K13" i="1"/>
  <c r="L9" i="1"/>
  <c r="K10" i="1"/>
  <c r="K14" i="1" s="1"/>
  <c r="K26" i="1"/>
  <c r="M20" i="1"/>
  <c r="L24" i="1"/>
  <c r="L26" i="1" s="1"/>
  <c r="L21" i="1"/>
  <c r="K15" i="1" l="1"/>
  <c r="M9" i="1"/>
  <c r="L10" i="1"/>
  <c r="L14" i="1" s="1"/>
  <c r="L13" i="1"/>
  <c r="M24" i="1"/>
  <c r="N20" i="1"/>
  <c r="M21" i="1"/>
  <c r="M25" i="1" s="1"/>
  <c r="L15" i="1" l="1"/>
  <c r="N9" i="1"/>
  <c r="M10" i="1"/>
  <c r="M14" i="1" s="1"/>
  <c r="M13" i="1"/>
  <c r="M26" i="1"/>
  <c r="N24" i="1"/>
  <c r="N21" i="1"/>
  <c r="N25" i="1" s="1"/>
  <c r="O20" i="1"/>
  <c r="M15" i="1" l="1"/>
  <c r="N10" i="1"/>
  <c r="N14" i="1" s="1"/>
  <c r="N13" i="1"/>
  <c r="O9" i="1"/>
  <c r="N26" i="1"/>
  <c r="O24" i="1"/>
  <c r="O21" i="1"/>
  <c r="O25" i="1" s="1"/>
  <c r="P20" i="1"/>
  <c r="N15" i="1" l="1"/>
  <c r="O13" i="1"/>
  <c r="P9" i="1"/>
  <c r="O10" i="1"/>
  <c r="O14" i="1" s="1"/>
  <c r="O26" i="1"/>
  <c r="Q20" i="1"/>
  <c r="P21" i="1"/>
  <c r="P25" i="1" s="1"/>
  <c r="P24" i="1"/>
  <c r="O15" i="1" l="1"/>
  <c r="Q9" i="1"/>
  <c r="P10" i="1"/>
  <c r="P14" i="1" s="1"/>
  <c r="P13" i="1"/>
  <c r="P26" i="1"/>
  <c r="Q24" i="1"/>
  <c r="Q21" i="1"/>
  <c r="Q25" i="1" s="1"/>
  <c r="P15" i="1" l="1"/>
  <c r="Q10" i="1"/>
  <c r="Q14" i="1" s="1"/>
  <c r="Q13" i="1"/>
  <c r="Q26" i="1"/>
  <c r="O28" i="1" s="1"/>
  <c r="Q15" i="1" l="1"/>
  <c r="O17" i="1" s="1"/>
  <c r="D36" i="1" s="1"/>
  <c r="E36" i="1"/>
  <c r="O30" i="1" l="1"/>
  <c r="F36" i="1" s="1"/>
</calcChain>
</file>

<file path=xl/sharedStrings.xml><?xml version="1.0" encoding="utf-8"?>
<sst xmlns="http://schemas.openxmlformats.org/spreadsheetml/2006/main" count="195" uniqueCount="143">
  <si>
    <t>Close of Business Date (t=0)</t>
  </si>
  <si>
    <t>Stock Closing Price at t=0</t>
  </si>
  <si>
    <t>Maturity/Expiration Date</t>
  </si>
  <si>
    <t>Stock Closing Price at Maturity</t>
  </si>
  <si>
    <t>Risk Free Rate c.c.</t>
  </si>
  <si>
    <t>Advanced Micro Devices, Inc. (AMD)</t>
  </si>
  <si>
    <t>Options Closing Prices</t>
  </si>
  <si>
    <t>Strike</t>
  </si>
  <si>
    <t>Calls</t>
  </si>
  <si>
    <t>Puts</t>
  </si>
  <si>
    <t>Shares per Option</t>
  </si>
  <si>
    <t>#of Shares</t>
  </si>
  <si>
    <t>Cash Flow at t=0</t>
  </si>
  <si>
    <t>P&amp;L at T</t>
  </si>
  <si>
    <t>Stock Position</t>
  </si>
  <si>
    <t>riskfree</t>
  </si>
  <si>
    <t>stocktime0</t>
  </si>
  <si>
    <t>time</t>
  </si>
  <si>
    <t>Function F3</t>
  </si>
  <si>
    <t>Call Grid</t>
  </si>
  <si>
    <t># of Options</t>
  </si>
  <si>
    <t>Payoff</t>
  </si>
  <si>
    <t>Premium with TVM</t>
  </si>
  <si>
    <t>Profit / Loss</t>
  </si>
  <si>
    <t>B</t>
  </si>
  <si>
    <t>S</t>
  </si>
  <si>
    <t>Calls P&amp;L</t>
  </si>
  <si>
    <t>Put Grid</t>
  </si>
  <si>
    <t>Put P&amp;L</t>
  </si>
  <si>
    <t>Total P&amp;L</t>
  </si>
  <si>
    <t>Data Table</t>
  </si>
  <si>
    <t>Stock</t>
  </si>
  <si>
    <t>Total</t>
  </si>
  <si>
    <t>Directional Strategies</t>
  </si>
  <si>
    <t>Bull Spread with Puts - Short high strike put, long low strike put</t>
  </si>
  <si>
    <t>Buy a Call - Long Call - Buy $49.00 Call</t>
  </si>
  <si>
    <t>Bull Strategies</t>
  </si>
  <si>
    <t xml:space="preserve">        buy a $49 call, sell $55 call</t>
  </si>
  <si>
    <t xml:space="preserve">        sell $47 put, buy $42 strike put</t>
  </si>
  <si>
    <t>Protective Puts</t>
  </si>
  <si>
    <t xml:space="preserve">         long stock, long OTM put</t>
  </si>
  <si>
    <t>Bear Strategies</t>
  </si>
  <si>
    <t>Buy a Put - Long Put - Buy $48.00 Put</t>
  </si>
  <si>
    <t>Bull Spread with Calls</t>
  </si>
  <si>
    <t>Bear Spread with Puts - buy high strike put, sell low strike put</t>
  </si>
  <si>
    <t xml:space="preserve">           buy $48 put, sell $40 put</t>
  </si>
  <si>
    <t>Bear Spread with Calls, sell low strike call, buy high strike call</t>
  </si>
  <si>
    <t xml:space="preserve">          sell $50 call, buy $60 call</t>
  </si>
  <si>
    <t>Cap - sell the stock, buy OTM call</t>
  </si>
  <si>
    <t xml:space="preserve">            sell the stock, buy $52.50 call</t>
  </si>
  <si>
    <r>
      <t xml:space="preserve">            buy stock at S</t>
    </r>
    <r>
      <rPr>
        <vertAlign val="subscript"/>
        <sz val="10"/>
        <color theme="1"/>
        <rFont val="Century Gothic"/>
        <family val="2"/>
      </rPr>
      <t xml:space="preserve">0 </t>
    </r>
    <r>
      <rPr>
        <sz val="10"/>
        <color theme="1"/>
        <rFont val="Century Gothic"/>
        <family val="2"/>
      </rPr>
      <t>, Sell $55 call, buy $45 put</t>
    </r>
  </si>
  <si>
    <t>Covered Calls - long stock, short OTM call</t>
  </si>
  <si>
    <t xml:space="preserve">            buy stock, sell $55.00 call</t>
  </si>
  <si>
    <t xml:space="preserve">             short (sell) stock, buy $52.50 call, sell $43 put</t>
  </si>
  <si>
    <t>Collar combo. with Stock- short stock, long OTM call, short OTM put</t>
  </si>
  <si>
    <t>Collar combo. with stock- long stock, long OTM put, short OTM call</t>
  </si>
  <si>
    <t>Collar -  long call, short OTM put</t>
  </si>
  <si>
    <t>Collar - Long  put, Short OTM Call</t>
  </si>
  <si>
    <t xml:space="preserve">                 long $47.00 put, short $52.50 call</t>
  </si>
  <si>
    <t xml:space="preserve">              long $50 call, short $45.00 put</t>
  </si>
  <si>
    <t>Volatility Strategies</t>
  </si>
  <si>
    <t>Long Straddles  - long ATM Call, Long ATM Put</t>
  </si>
  <si>
    <t xml:space="preserve">          buy $49 call, buy $49 put</t>
  </si>
  <si>
    <t>Long Strangle - long OTM Call, Long OTM Put</t>
  </si>
  <si>
    <t xml:space="preserve">         buy $50 call,  buy $47 put</t>
  </si>
  <si>
    <t>Bearish Volatility</t>
  </si>
  <si>
    <t>Short Straddles - Short ATM Call, Short ATM Put</t>
  </si>
  <si>
    <t xml:space="preserve">          sell $49 Call, sell $49 Put</t>
  </si>
  <si>
    <t>Short Strangle - sell OTM call, sell OTM put</t>
  </si>
  <si>
    <t xml:space="preserve">          sell $50 call, sell $47 put</t>
  </si>
  <si>
    <t xml:space="preserve">                     buy 2 ATM puts, sell 1 OTM put,  sell 1 ITM put</t>
  </si>
  <si>
    <t xml:space="preserve">Butterfly -  buy 2 ATM calls, sell 1 OTM call, sell 1 ITM calls </t>
  </si>
  <si>
    <t>Butterfly - short 2 ATM calls, long 1 ITM call, long 1 OTM call</t>
  </si>
  <si>
    <t xml:space="preserve">                   short 2 ATM puts, long 1 ITM put, long 1 OTM put</t>
  </si>
  <si>
    <t>Iron Condor - combo of puts/calls</t>
  </si>
  <si>
    <t>Synthetics and Put/Call Parity</t>
  </si>
  <si>
    <r>
      <t>Pe + S</t>
    </r>
    <r>
      <rPr>
        <vertAlign val="subscript"/>
        <sz val="10"/>
        <color theme="1"/>
        <rFont val="Century Gothic"/>
        <family val="2"/>
      </rPr>
      <t xml:space="preserve">0 </t>
    </r>
    <r>
      <rPr>
        <sz val="10"/>
        <color theme="1"/>
        <rFont val="Century Gothic"/>
        <family val="2"/>
      </rPr>
      <t>= Ce + Xe</t>
    </r>
    <r>
      <rPr>
        <vertAlign val="superscript"/>
        <sz val="10"/>
        <color theme="1"/>
        <rFont val="Century Gothic"/>
        <family val="2"/>
      </rPr>
      <t>-rT</t>
    </r>
  </si>
  <si>
    <r>
      <t>S</t>
    </r>
    <r>
      <rPr>
        <vertAlign val="subscript"/>
        <sz val="10"/>
        <color theme="1"/>
        <rFont val="Century Gothic"/>
        <family val="2"/>
      </rPr>
      <t>0</t>
    </r>
    <r>
      <rPr>
        <sz val="10"/>
        <color theme="1"/>
        <rFont val="Century Gothic"/>
        <family val="2"/>
      </rPr>
      <t xml:space="preserve"> -</t>
    </r>
    <r>
      <rPr>
        <vertAlign val="subscript"/>
        <sz val="10"/>
        <color theme="1"/>
        <rFont val="Century Gothic"/>
        <family val="2"/>
      </rPr>
      <t xml:space="preserve">  </t>
    </r>
    <r>
      <rPr>
        <sz val="10"/>
        <color theme="1"/>
        <rFont val="Century Gothic"/>
        <family val="2"/>
      </rPr>
      <t>Xe-rT</t>
    </r>
    <r>
      <rPr>
        <vertAlign val="subscript"/>
        <sz val="10"/>
        <color theme="1"/>
        <rFont val="Century Gothic"/>
        <family val="2"/>
      </rPr>
      <t xml:space="preserve"> </t>
    </r>
    <r>
      <rPr>
        <sz val="10"/>
        <color theme="1"/>
        <rFont val="Century Gothic"/>
        <family val="2"/>
      </rPr>
      <t>= Ce - Pe</t>
    </r>
  </si>
  <si>
    <t>Short Stock + Long Call = Long Put</t>
  </si>
  <si>
    <t>Long Stock + Short Call = Short Put</t>
  </si>
  <si>
    <t>Future = Call (ATM) - Put (ATM)</t>
  </si>
  <si>
    <t>Long Stock + Long Put = Long Call</t>
  </si>
  <si>
    <t>Short Stock + Short Put = Short Call</t>
  </si>
  <si>
    <t>Bullish Volatility (Increasing Volatility)</t>
  </si>
  <si>
    <t xml:space="preserve">                  Buy 1 slightly OTM Call, buy 1 slightly OTM Put. Sell 1 deeper OTM Call, Sell 1 deeper OTM Put</t>
  </si>
  <si>
    <t xml:space="preserve">                  Sell 1 slightly OTM Call, Sell 1 slightly OTM Put. Buy 1 deeper OTM Call, Buy 1 deeper OTM Put</t>
  </si>
  <si>
    <t>=' Strategies'!$B$7</t>
  </si>
  <si>
    <t>=' Strategies'!$B$9</t>
  </si>
  <si>
    <t>=' Strategies'!$B$4</t>
  </si>
  <si>
    <t>=' Strategies'!$B$6</t>
  </si>
  <si>
    <t>F= C-P</t>
  </si>
  <si>
    <t>Create Data Validation</t>
  </si>
  <si>
    <t>Range Names</t>
  </si>
  <si>
    <t>If Statements</t>
  </si>
  <si>
    <t>Data Tables</t>
  </si>
  <si>
    <t>Graphing</t>
  </si>
  <si>
    <t>Topics</t>
  </si>
  <si>
    <t>Premium (Create Vlookup)</t>
  </si>
  <si>
    <t>Buy or Sell (Data Validation)</t>
  </si>
  <si>
    <t>Payoff Long Call</t>
  </si>
  <si>
    <r>
      <t xml:space="preserve">Using </t>
    </r>
    <r>
      <rPr>
        <b/>
        <sz val="10"/>
        <color rgb="FFFF0000"/>
        <rFont val="Century Gothic"/>
        <family val="2"/>
      </rPr>
      <t>IF</t>
    </r>
  </si>
  <si>
    <r>
      <t>IF(S</t>
    </r>
    <r>
      <rPr>
        <vertAlign val="subscript"/>
        <sz val="10"/>
        <color theme="1"/>
        <rFont val="Century Gothic"/>
        <family val="2"/>
      </rPr>
      <t>T</t>
    </r>
    <r>
      <rPr>
        <sz val="10"/>
        <color theme="1"/>
        <rFont val="Century Gothic"/>
        <family val="2"/>
      </rPr>
      <t xml:space="preserve"> &gt; X, S</t>
    </r>
    <r>
      <rPr>
        <vertAlign val="subscript"/>
        <sz val="10"/>
        <color theme="1"/>
        <rFont val="Century Gothic"/>
        <family val="2"/>
      </rPr>
      <t xml:space="preserve">T </t>
    </r>
    <r>
      <rPr>
        <sz val="10"/>
        <color theme="1"/>
        <rFont val="Century Gothic"/>
        <family val="2"/>
      </rPr>
      <t>- X, 0) * # options * Q</t>
    </r>
    <r>
      <rPr>
        <vertAlign val="subscript"/>
        <sz val="10"/>
        <color theme="1"/>
        <rFont val="Century Gothic"/>
        <family val="2"/>
      </rPr>
      <t>O</t>
    </r>
  </si>
  <si>
    <r>
      <t xml:space="preserve">Using </t>
    </r>
    <r>
      <rPr>
        <b/>
        <sz val="10"/>
        <color theme="9" tint="-0.249977111117893"/>
        <rFont val="Century Gothic"/>
        <family val="2"/>
      </rPr>
      <t>MAX</t>
    </r>
  </si>
  <si>
    <r>
      <t xml:space="preserve"> MAX(S</t>
    </r>
    <r>
      <rPr>
        <vertAlign val="subscript"/>
        <sz val="10"/>
        <color theme="1"/>
        <rFont val="Century Gothic"/>
        <family val="2"/>
      </rPr>
      <t>T</t>
    </r>
    <r>
      <rPr>
        <sz val="10"/>
        <color theme="1"/>
        <rFont val="Century Gothic"/>
        <family val="2"/>
      </rPr>
      <t xml:space="preserve"> - X) * #options * Q</t>
    </r>
    <r>
      <rPr>
        <vertAlign val="subscript"/>
        <sz val="10"/>
        <color theme="1"/>
        <rFont val="Century Gothic"/>
        <family val="2"/>
      </rPr>
      <t>O</t>
    </r>
  </si>
  <si>
    <t>Payoff Short Call</t>
  </si>
  <si>
    <r>
      <t>IF(S</t>
    </r>
    <r>
      <rPr>
        <vertAlign val="subscript"/>
        <sz val="10"/>
        <color theme="1"/>
        <rFont val="Century Gothic"/>
        <family val="2"/>
      </rPr>
      <t>T</t>
    </r>
    <r>
      <rPr>
        <sz val="10"/>
        <color theme="1"/>
        <rFont val="Century Gothic"/>
        <family val="2"/>
      </rPr>
      <t xml:space="preserve"> &gt; X, X - S</t>
    </r>
    <r>
      <rPr>
        <vertAlign val="subscript"/>
        <sz val="10"/>
        <color theme="1"/>
        <rFont val="Century Gothic"/>
        <family val="2"/>
      </rPr>
      <t>T</t>
    </r>
    <r>
      <rPr>
        <sz val="10"/>
        <color theme="1"/>
        <rFont val="Century Gothic"/>
        <family val="2"/>
      </rPr>
      <t>, 0) * # options * Q</t>
    </r>
    <r>
      <rPr>
        <vertAlign val="subscript"/>
        <sz val="10"/>
        <color theme="1"/>
        <rFont val="Century Gothic"/>
        <family val="2"/>
      </rPr>
      <t>O</t>
    </r>
  </si>
  <si>
    <r>
      <t xml:space="preserve">Using </t>
    </r>
    <r>
      <rPr>
        <b/>
        <sz val="10"/>
        <color theme="9" tint="-0.249977111117893"/>
        <rFont val="Century Gothic"/>
        <family val="2"/>
      </rPr>
      <t>MIN</t>
    </r>
  </si>
  <si>
    <r>
      <t xml:space="preserve"> MIN(X - S</t>
    </r>
    <r>
      <rPr>
        <vertAlign val="subscript"/>
        <sz val="10"/>
        <color theme="1"/>
        <rFont val="Century Gothic"/>
        <family val="2"/>
      </rPr>
      <t>T</t>
    </r>
    <r>
      <rPr>
        <sz val="10"/>
        <color theme="1"/>
        <rFont val="Century Gothic"/>
        <family val="2"/>
      </rPr>
      <t>) * #options * Q</t>
    </r>
    <r>
      <rPr>
        <vertAlign val="subscript"/>
        <sz val="10"/>
        <color theme="1"/>
        <rFont val="Century Gothic"/>
        <family val="2"/>
      </rPr>
      <t>O</t>
    </r>
  </si>
  <si>
    <t>Payoff Long Put</t>
  </si>
  <si>
    <r>
      <t>IF(S</t>
    </r>
    <r>
      <rPr>
        <vertAlign val="subscript"/>
        <sz val="10"/>
        <color theme="1"/>
        <rFont val="Century Gothic"/>
        <family val="2"/>
      </rPr>
      <t>T</t>
    </r>
    <r>
      <rPr>
        <sz val="10"/>
        <color theme="1"/>
        <rFont val="Century Gothic"/>
        <family val="2"/>
      </rPr>
      <t xml:space="preserve"> &lt; X, X - S</t>
    </r>
    <r>
      <rPr>
        <vertAlign val="subscript"/>
        <sz val="10"/>
        <color theme="1"/>
        <rFont val="Century Gothic"/>
        <family val="2"/>
      </rPr>
      <t>T</t>
    </r>
    <r>
      <rPr>
        <sz val="10"/>
        <color theme="1"/>
        <rFont val="Century Gothic"/>
        <family val="2"/>
      </rPr>
      <t>, 0) * # options * Q</t>
    </r>
    <r>
      <rPr>
        <vertAlign val="subscript"/>
        <sz val="10"/>
        <color theme="1"/>
        <rFont val="Century Gothic"/>
        <family val="2"/>
      </rPr>
      <t>O</t>
    </r>
  </si>
  <si>
    <r>
      <t xml:space="preserve"> MAX(X - S</t>
    </r>
    <r>
      <rPr>
        <vertAlign val="subscript"/>
        <sz val="10"/>
        <color theme="1"/>
        <rFont val="Century Gothic"/>
        <family val="2"/>
      </rPr>
      <t>T)</t>
    </r>
    <r>
      <rPr>
        <sz val="10"/>
        <color theme="1"/>
        <rFont val="Century Gothic"/>
        <family val="2"/>
      </rPr>
      <t xml:space="preserve"> * #options * Q</t>
    </r>
    <r>
      <rPr>
        <vertAlign val="subscript"/>
        <sz val="10"/>
        <color theme="1"/>
        <rFont val="Century Gothic"/>
        <family val="2"/>
      </rPr>
      <t>O</t>
    </r>
  </si>
  <si>
    <t>Payoff Short Put</t>
  </si>
  <si>
    <r>
      <t>IF(S</t>
    </r>
    <r>
      <rPr>
        <vertAlign val="subscript"/>
        <sz val="10"/>
        <color theme="1"/>
        <rFont val="Century Gothic"/>
        <family val="2"/>
      </rPr>
      <t>T</t>
    </r>
    <r>
      <rPr>
        <sz val="10"/>
        <color theme="1"/>
        <rFont val="Century Gothic"/>
        <family val="2"/>
      </rPr>
      <t xml:space="preserve"> &lt; X, S</t>
    </r>
    <r>
      <rPr>
        <vertAlign val="subscript"/>
        <sz val="10"/>
        <color theme="1"/>
        <rFont val="Century Gothic"/>
        <family val="2"/>
      </rPr>
      <t xml:space="preserve">T </t>
    </r>
    <r>
      <rPr>
        <sz val="10"/>
        <color theme="1"/>
        <rFont val="Century Gothic"/>
        <family val="2"/>
      </rPr>
      <t>- X, 0) * # options * Q</t>
    </r>
    <r>
      <rPr>
        <vertAlign val="subscript"/>
        <sz val="10"/>
        <color theme="1"/>
        <rFont val="Century Gothic"/>
        <family val="2"/>
      </rPr>
      <t>O</t>
    </r>
  </si>
  <si>
    <r>
      <t xml:space="preserve"> MIN(S</t>
    </r>
    <r>
      <rPr>
        <vertAlign val="subscript"/>
        <sz val="10"/>
        <color theme="1"/>
        <rFont val="Century Gothic"/>
        <family val="2"/>
      </rPr>
      <t>T</t>
    </r>
    <r>
      <rPr>
        <sz val="10"/>
        <color theme="1"/>
        <rFont val="Century Gothic"/>
        <family val="2"/>
      </rPr>
      <t xml:space="preserve"> - X) * #options * Q</t>
    </r>
    <r>
      <rPr>
        <vertAlign val="subscript"/>
        <sz val="10"/>
        <color theme="1"/>
        <rFont val="Century Gothic"/>
        <family val="2"/>
      </rPr>
      <t>O</t>
    </r>
  </si>
  <si>
    <t>OPTION PAYOFFS</t>
  </si>
  <si>
    <t>X = Strike of the Option</t>
  </si>
  <si>
    <r>
      <t>S</t>
    </r>
    <r>
      <rPr>
        <b/>
        <vertAlign val="subscript"/>
        <sz val="12"/>
        <color theme="1"/>
        <rFont val="Century Gothic"/>
        <family val="2"/>
      </rPr>
      <t>T</t>
    </r>
    <r>
      <rPr>
        <b/>
        <sz val="12"/>
        <color theme="1"/>
        <rFont val="Century Gothic"/>
        <family val="2"/>
      </rPr>
      <t xml:space="preserve">  = Price of the Underlying at Maturity or Exercise</t>
    </r>
  </si>
  <si>
    <t>X</t>
  </si>
  <si>
    <r>
      <t>S</t>
    </r>
    <r>
      <rPr>
        <b/>
        <vertAlign val="subscript"/>
        <sz val="12"/>
        <color theme="1"/>
        <rFont val="Century Gothic"/>
        <family val="2"/>
      </rPr>
      <t>T</t>
    </r>
    <r>
      <rPr>
        <b/>
        <sz val="12"/>
        <color theme="1"/>
        <rFont val="Century Gothic"/>
        <family val="2"/>
      </rPr>
      <t xml:space="preserve"> </t>
    </r>
  </si>
  <si>
    <t xml:space="preserve">X </t>
  </si>
  <si>
    <t>Long Call</t>
  </si>
  <si>
    <t>Short Call</t>
  </si>
  <si>
    <t xml:space="preserve">Long Put </t>
  </si>
  <si>
    <t>Short Put</t>
  </si>
  <si>
    <t>ALT - N - R</t>
  </si>
  <si>
    <t>ADD RECOMMENDED CHART</t>
  </si>
  <si>
    <t>Short Cuts</t>
  </si>
  <si>
    <t>remember to add axis labels</t>
  </si>
  <si>
    <t>remember to add a chart title</t>
  </si>
  <si>
    <t>stockatT</t>
  </si>
  <si>
    <t>Time to Maturity = time</t>
  </si>
  <si>
    <t>Range name / Formulatext</t>
  </si>
  <si>
    <t>Explanation!</t>
  </si>
  <si>
    <t>If the underlying at maturity is less than the strike, the option is ITM, the holder (buyer) will exercise the put option.  You are obligated to buy the stock at the strike.  If you cover your position - sell the stock at the prevailing market price.</t>
  </si>
  <si>
    <t>If the underlying at maturity is less than the strike, the option is ITM, exercise it.  You are able to short/sell the stock at the strike and are able to cover (buy) the stock at the prevailing market price at T</t>
  </si>
  <si>
    <t>If the underlying at maturity is greater than the strike, the option is ITM, the holder (buyer) will exercise the call option.  You are obligated to sell  the stock at the strike.  If you cover your position - buy the stock at the prevailing market priceI</t>
  </si>
  <si>
    <t>If the underlying at maturity is greater than the strike, the option is ITM, exercise it.  Pay the strike, receive the stock and sell it at the prevailing market price at T</t>
  </si>
  <si>
    <t>Condor  - sell 1 slightly OTM call, sell 1 slightly ITM call, buy deeper OTM call, buy deeper ITM call</t>
  </si>
  <si>
    <t>Condor  - buy 1 slightly OTM call, buy 1 slightly ITM call, sell deeper OTM call, sell deeper ITM call</t>
  </si>
  <si>
    <t xml:space="preserve">                   buy 1 slightly OTM put, buy 1 slightly ITM put, sell deeper OTM put, SELL deeper ITM put</t>
  </si>
  <si>
    <t xml:space="preserve">                  sell 1 slightly OTM put, sell 1 slightly ITM put, buy deeper OTM put, buy deeper ITM put</t>
  </si>
  <si>
    <t>Buy or sell</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</si>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</sst>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quot;$&quot;#,##0.00"/>
    <numFmt numFmtId="165" formatCode="_(* #,##0.0000_);_(* \(#,##0.0000\);_(* &quot;-&quot;??_);_(@_)"/>
  </numFmts>
  <fonts count="28" x14ac:knownFonts="1">
    <font>
      <sz val="12"/>
      <color theme="1"/>
      <name val="Garamond"/>
      <family val="2"/>
    </font>
    <font>
      <sz val="12"/>
      <color theme="1"/>
      <name val="Garamond"/>
      <family val="2"/>
    </font>
    <font>
      <b/>
      <sz val="10"/>
      <color theme="1"/>
      <name val="Century Gothic"/>
      <family val="2"/>
    </font>
    <font>
      <sz val="10"/>
      <color theme="1"/>
      <name val="Century Gothic"/>
      <family val="2"/>
    </font>
    <font>
      <sz val="10"/>
      <color rgb="FF0070C0"/>
      <name val="Century Gothic"/>
      <family val="2"/>
    </font>
    <font>
      <sz val="10"/>
      <color theme="9" tint="-0.249977111117893"/>
      <name val="Century Gothic"/>
      <family val="2"/>
    </font>
    <font>
      <b/>
      <u/>
      <sz val="10"/>
      <color theme="1"/>
      <name val="Century Gothic"/>
      <family val="2"/>
    </font>
    <font>
      <sz val="10"/>
      <color rgb="FFFF0000"/>
      <name val="Century Gothic"/>
      <family val="2"/>
    </font>
    <font>
      <vertAlign val="subscript"/>
      <sz val="10"/>
      <color theme="1"/>
      <name val="Century Gothic"/>
      <family val="2"/>
    </font>
    <font>
      <vertAlign val="superscript"/>
      <sz val="10"/>
      <color theme="1"/>
      <name val="Century Gothic"/>
      <family val="2"/>
    </font>
    <font>
      <b/>
      <sz val="10"/>
      <color rgb="FF0070C0"/>
      <name val="Century Gothic"/>
      <family val="2"/>
    </font>
    <font>
      <b/>
      <sz val="12"/>
      <color rgb="FF0070C0"/>
      <name val="Century Gothic"/>
      <family val="2"/>
    </font>
    <font>
      <b/>
      <sz val="12"/>
      <color theme="1"/>
      <name val="Century Gothic"/>
      <family val="2"/>
    </font>
    <font>
      <sz val="10"/>
      <color theme="0"/>
      <name val="Century Gothic"/>
      <family val="2"/>
    </font>
    <font>
      <b/>
      <sz val="10"/>
      <color theme="0"/>
      <name val="Century Gothic"/>
      <family val="2"/>
    </font>
    <font>
      <b/>
      <i/>
      <sz val="10"/>
      <color theme="1"/>
      <name val="Century Gothic"/>
      <family val="2"/>
    </font>
    <font>
      <sz val="12"/>
      <color theme="1"/>
      <name val="Century Gothic"/>
      <family val="2"/>
    </font>
    <font>
      <b/>
      <sz val="10"/>
      <color rgb="FFFF0000"/>
      <name val="Century Gothic"/>
      <family val="2"/>
    </font>
    <font>
      <b/>
      <i/>
      <sz val="12"/>
      <color rgb="FFFF0000"/>
      <name val="Century Gothic"/>
      <family val="2"/>
    </font>
    <font>
      <b/>
      <vertAlign val="subscript"/>
      <sz val="12"/>
      <color theme="1"/>
      <name val="Century Gothic"/>
      <family val="2"/>
    </font>
    <font>
      <b/>
      <sz val="10"/>
      <color theme="9" tint="-0.249977111117893"/>
      <name val="Century Gothic"/>
      <family val="2"/>
    </font>
    <font>
      <sz val="12"/>
      <color rgb="FF0070C0"/>
      <name val="Century Gothic"/>
      <family val="2"/>
    </font>
    <font>
      <sz val="12"/>
      <color theme="0"/>
      <name val="Century Gothic"/>
      <family val="2"/>
    </font>
    <font>
      <b/>
      <sz val="12"/>
      <color rgb="FFFF0000"/>
      <name val="Century Gothic"/>
      <family val="2"/>
    </font>
    <font>
      <b/>
      <i/>
      <sz val="12"/>
      <color theme="1"/>
      <name val="Century Gothic"/>
      <family val="2"/>
    </font>
    <font>
      <i/>
      <sz val="12"/>
      <color theme="1"/>
      <name val="Century Gothic"/>
      <family val="2"/>
    </font>
    <font>
      <i/>
      <sz val="10"/>
      <color theme="1"/>
      <name val="Century Gothic"/>
      <family val="2"/>
    </font>
    <font>
      <b/>
      <sz val="12"/>
      <color rgb="FFFF0000"/>
      <name val="Garamond"/>
      <family val="1"/>
    </font>
  </fonts>
  <fills count="15">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FED4F8"/>
        <bgColor indexed="64"/>
      </patternFill>
    </fill>
    <fill>
      <patternFill patternType="solid">
        <fgColor rgb="FFCCFFCC"/>
        <bgColor indexed="64"/>
      </patternFill>
    </fill>
    <fill>
      <patternFill patternType="solid">
        <fgColor rgb="FF0070C0"/>
        <bgColor indexed="64"/>
      </patternFill>
    </fill>
    <fill>
      <patternFill patternType="solid">
        <fgColor rgb="FF002060"/>
        <bgColor indexed="64"/>
      </patternFill>
    </fill>
    <fill>
      <patternFill patternType="solid">
        <fgColor rgb="FFFFFFCC"/>
        <bgColor indexed="64"/>
      </patternFill>
    </fill>
    <fill>
      <patternFill patternType="solid">
        <fgColor rgb="FFFFFF00"/>
        <bgColor indexed="64"/>
      </patternFill>
    </fill>
    <fill>
      <patternFill patternType="solid">
        <fgColor theme="4"/>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89">
    <xf numFmtId="0" fontId="0" fillId="0" borderId="0" xfId="0"/>
    <xf numFmtId="0" fontId="2" fillId="0" borderId="0" xfId="0" applyFont="1"/>
    <xf numFmtId="0" fontId="3" fillId="0" borderId="0" xfId="0" applyFont="1"/>
    <xf numFmtId="0" fontId="4" fillId="0" borderId="0" xfId="0" applyFont="1"/>
    <xf numFmtId="0" fontId="3" fillId="0" borderId="1" xfId="0" applyFont="1" applyBorder="1" applyAlignment="1">
      <alignment horizontal="center"/>
    </xf>
    <xf numFmtId="164" fontId="4" fillId="0" borderId="1" xfId="2" applyNumberFormat="1" applyFont="1" applyBorder="1"/>
    <xf numFmtId="0" fontId="4" fillId="0" borderId="1" xfId="0" applyFont="1" applyBorder="1" applyAlignment="1">
      <alignment horizontal="center"/>
    </xf>
    <xf numFmtId="44" fontId="3" fillId="0" borderId="1" xfId="0" applyNumberFormat="1" applyFont="1" applyBorder="1"/>
    <xf numFmtId="0" fontId="7" fillId="0" borderId="0" xfId="0" applyFont="1"/>
    <xf numFmtId="0" fontId="3" fillId="0" borderId="0" xfId="0" applyFont="1" applyAlignment="1">
      <alignment horizontal="right"/>
    </xf>
    <xf numFmtId="0" fontId="2" fillId="0" borderId="0" xfId="0" applyFont="1" applyBorder="1"/>
    <xf numFmtId="0" fontId="10" fillId="4" borderId="0" xfId="0" applyFont="1" applyFill="1" applyAlignment="1"/>
    <xf numFmtId="0" fontId="3" fillId="2" borderId="0" xfId="0" applyFont="1" applyFill="1"/>
    <xf numFmtId="0" fontId="11" fillId="0" borderId="0" xfId="0" applyFont="1"/>
    <xf numFmtId="0" fontId="12" fillId="0" borderId="0" xfId="0" applyFont="1"/>
    <xf numFmtId="164" fontId="4" fillId="4" borderId="1" xfId="2" applyNumberFormat="1" applyFont="1" applyFill="1" applyBorder="1"/>
    <xf numFmtId="164" fontId="3" fillId="2" borderId="1" xfId="2" applyNumberFormat="1" applyFont="1" applyFill="1" applyBorder="1" applyAlignment="1">
      <alignment horizontal="center"/>
    </xf>
    <xf numFmtId="44" fontId="3" fillId="2" borderId="1" xfId="2" applyFont="1" applyFill="1" applyBorder="1"/>
    <xf numFmtId="164" fontId="4" fillId="4" borderId="1" xfId="2" applyNumberFormat="1" applyFont="1" applyFill="1" applyBorder="1" applyAlignment="1">
      <alignment horizontal="center"/>
    </xf>
    <xf numFmtId="0" fontId="10" fillId="9" borderId="1" xfId="0" applyFont="1" applyFill="1" applyBorder="1" applyAlignment="1">
      <alignment horizontal="center"/>
    </xf>
    <xf numFmtId="164" fontId="3" fillId="5" borderId="1" xfId="2" applyNumberFormat="1" applyFont="1" applyFill="1" applyBorder="1" applyAlignment="1">
      <alignment horizontal="center"/>
    </xf>
    <xf numFmtId="164" fontId="10" fillId="9" borderId="1" xfId="2" applyNumberFormat="1" applyFont="1" applyFill="1" applyBorder="1" applyAlignment="1">
      <alignment horizontal="center"/>
    </xf>
    <xf numFmtId="0" fontId="2" fillId="6" borderId="0" xfId="0" applyFont="1" applyFill="1" applyAlignment="1"/>
    <xf numFmtId="0" fontId="2" fillId="7" borderId="0" xfId="0" applyFont="1" applyFill="1" applyAlignment="1"/>
    <xf numFmtId="0" fontId="2" fillId="8" borderId="0" xfId="0" applyFont="1" applyFill="1" applyAlignment="1"/>
    <xf numFmtId="0" fontId="3" fillId="0" borderId="0" xfId="0" applyFont="1" applyAlignment="1"/>
    <xf numFmtId="0" fontId="2" fillId="3" borderId="0" xfId="0" applyFont="1" applyFill="1" applyAlignment="1"/>
    <xf numFmtId="0" fontId="2" fillId="5" borderId="0" xfId="0" applyFont="1" applyFill="1" applyAlignment="1"/>
    <xf numFmtId="44" fontId="13" fillId="10" borderId="1" xfId="0" applyNumberFormat="1" applyFont="1" applyFill="1" applyBorder="1" applyAlignment="1">
      <alignment horizontal="right"/>
    </xf>
    <xf numFmtId="0" fontId="3" fillId="0" borderId="3" xfId="0" applyFont="1" applyBorder="1" applyAlignment="1">
      <alignment horizontal="center" wrapText="1"/>
    </xf>
    <xf numFmtId="0" fontId="13" fillId="11" borderId="0" xfId="0" applyFont="1" applyFill="1"/>
    <xf numFmtId="44" fontId="14" fillId="11" borderId="0" xfId="0" applyNumberFormat="1" applyFont="1" applyFill="1" applyAlignment="1">
      <alignment horizontal="center"/>
    </xf>
    <xf numFmtId="0" fontId="6" fillId="2" borderId="0" xfId="0" applyFont="1" applyFill="1"/>
    <xf numFmtId="44" fontId="2" fillId="2" borderId="1" xfId="2" applyFont="1" applyFill="1" applyBorder="1"/>
    <xf numFmtId="0" fontId="15" fillId="12" borderId="0" xfId="0" applyFont="1" applyFill="1"/>
    <xf numFmtId="0" fontId="3" fillId="12" borderId="0" xfId="0" applyFont="1" applyFill="1"/>
    <xf numFmtId="44" fontId="8" fillId="2" borderId="1" xfId="2" applyFont="1" applyFill="1" applyBorder="1"/>
    <xf numFmtId="0" fontId="16" fillId="0" borderId="0" xfId="0" applyFont="1"/>
    <xf numFmtId="44" fontId="11" fillId="0" borderId="0" xfId="2" applyFont="1"/>
    <xf numFmtId="44" fontId="16" fillId="0" borderId="0" xfId="2" applyFont="1"/>
    <xf numFmtId="0" fontId="18" fillId="0" borderId="0" xfId="0" applyFont="1"/>
    <xf numFmtId="44" fontId="21" fillId="0" borderId="0" xfId="2" applyFont="1"/>
    <xf numFmtId="44" fontId="16" fillId="5" borderId="0" xfId="2" applyFont="1" applyFill="1"/>
    <xf numFmtId="44" fontId="16" fillId="5" borderId="0" xfId="0" applyNumberFormat="1" applyFont="1" applyFill="1"/>
    <xf numFmtId="0" fontId="23" fillId="0" borderId="0" xfId="0" applyFont="1"/>
    <xf numFmtId="0" fontId="24" fillId="0" borderId="2" xfId="0" applyFont="1" applyBorder="1"/>
    <xf numFmtId="0" fontId="16" fillId="0" borderId="2" xfId="0" applyFont="1" applyBorder="1"/>
    <xf numFmtId="0" fontId="25" fillId="0" borderId="0" xfId="0" applyFont="1"/>
    <xf numFmtId="0" fontId="2" fillId="0" borderId="2" xfId="0" applyFont="1" applyBorder="1"/>
    <xf numFmtId="0" fontId="3" fillId="0" borderId="2" xfId="0" applyFont="1" applyBorder="1"/>
    <xf numFmtId="0" fontId="3" fillId="0" borderId="4" xfId="0" applyFont="1" applyBorder="1"/>
    <xf numFmtId="14" fontId="4" fillId="0" borderId="5" xfId="0" applyNumberFormat="1" applyFont="1" applyBorder="1"/>
    <xf numFmtId="0" fontId="3" fillId="0" borderId="6" xfId="0" applyFont="1" applyBorder="1"/>
    <xf numFmtId="0" fontId="3" fillId="0" borderId="7" xfId="0" applyFont="1" applyBorder="1"/>
    <xf numFmtId="44" fontId="4" fillId="0" borderId="0" xfId="2" applyFont="1" applyBorder="1"/>
    <xf numFmtId="0" fontId="3" fillId="2" borderId="8" xfId="0" applyFont="1" applyFill="1" applyBorder="1"/>
    <xf numFmtId="14" fontId="4" fillId="0" borderId="0" xfId="0" applyNumberFormat="1" applyFont="1" applyBorder="1"/>
    <xf numFmtId="0" fontId="3" fillId="0" borderId="8" xfId="0" applyFont="1" applyBorder="1"/>
    <xf numFmtId="165" fontId="5" fillId="0" borderId="0" xfId="1" applyNumberFormat="1" applyFont="1" applyBorder="1"/>
    <xf numFmtId="10" fontId="4" fillId="0" borderId="0" xfId="3" applyNumberFormat="1" applyFont="1" applyBorder="1"/>
    <xf numFmtId="0" fontId="4" fillId="0" borderId="0" xfId="0" applyFont="1" applyBorder="1"/>
    <xf numFmtId="0" fontId="3" fillId="0" borderId="9" xfId="0" applyFont="1" applyBorder="1"/>
    <xf numFmtId="44" fontId="10" fillId="0" borderId="2" xfId="2" applyFont="1" applyBorder="1"/>
    <xf numFmtId="0" fontId="3" fillId="2" borderId="10" xfId="0" applyFont="1" applyFill="1" applyBorder="1"/>
    <xf numFmtId="0" fontId="26" fillId="0" borderId="0" xfId="0" applyFont="1"/>
    <xf numFmtId="0" fontId="3" fillId="13" borderId="0" xfId="0" applyFont="1" applyFill="1"/>
    <xf numFmtId="0" fontId="2" fillId="3" borderId="0" xfId="0" applyFont="1" applyFill="1"/>
    <xf numFmtId="0" fontId="2" fillId="5" borderId="0" xfId="0" applyFont="1" applyFill="1"/>
    <xf numFmtId="0" fontId="2" fillId="8" borderId="0" xfId="0" applyFont="1" applyFill="1"/>
    <xf numFmtId="0" fontId="11" fillId="4" borderId="0" xfId="0" applyFont="1" applyFill="1"/>
    <xf numFmtId="0" fontId="2" fillId="6" borderId="0" xfId="0" applyFont="1" applyFill="1"/>
    <xf numFmtId="0" fontId="2" fillId="7" borderId="0" xfId="0" applyFont="1" applyFill="1"/>
    <xf numFmtId="164" fontId="3" fillId="0" borderId="0" xfId="0" applyNumberFormat="1" applyFont="1"/>
    <xf numFmtId="164" fontId="4" fillId="4" borderId="1" xfId="2" applyNumberFormat="1" applyFont="1" applyFill="1" applyBorder="1" applyAlignment="1">
      <alignment horizontal="center" vertical="center"/>
    </xf>
    <xf numFmtId="164" fontId="4" fillId="4" borderId="1" xfId="2" applyNumberFormat="1" applyFont="1" applyFill="1" applyBorder="1" applyAlignment="1">
      <alignment vertical="center"/>
    </xf>
    <xf numFmtId="0" fontId="17" fillId="0" borderId="0" xfId="0" applyFont="1" applyAlignment="1">
      <alignment horizontal="left"/>
    </xf>
    <xf numFmtId="0" fontId="17" fillId="0" borderId="0" xfId="0" applyFont="1"/>
    <xf numFmtId="0" fontId="17" fillId="0" borderId="8" xfId="0" applyFont="1" applyBorder="1"/>
    <xf numFmtId="0" fontId="27" fillId="0" borderId="0" xfId="0" applyFont="1"/>
    <xf numFmtId="164" fontId="2" fillId="2" borderId="1" xfId="2" applyNumberFormat="1" applyFont="1" applyFill="1" applyBorder="1"/>
    <xf numFmtId="164" fontId="2" fillId="2" borderId="1" xfId="0" applyNumberFormat="1" applyFont="1" applyFill="1" applyBorder="1"/>
    <xf numFmtId="0" fontId="3" fillId="14" borderId="0" xfId="0" applyFont="1" applyFill="1"/>
    <xf numFmtId="0" fontId="0" fillId="14" borderId="0" xfId="0" applyFill="1"/>
    <xf numFmtId="0" fontId="14" fillId="14" borderId="0" xfId="0" applyFont="1" applyFill="1" applyAlignment="1">
      <alignment horizontal="center"/>
    </xf>
    <xf numFmtId="44" fontId="22" fillId="10" borderId="0" xfId="2" applyFont="1" applyFill="1" applyAlignment="1">
      <alignment horizontal="center"/>
    </xf>
    <xf numFmtId="0" fontId="14" fillId="11" borderId="2" xfId="0" applyFont="1" applyFill="1" applyBorder="1" applyAlignment="1">
      <alignment horizontal="center"/>
    </xf>
    <xf numFmtId="0" fontId="14" fillId="11" borderId="0" xfId="0" applyFont="1" applyFill="1" applyAlignment="1">
      <alignment horizontal="center"/>
    </xf>
    <xf numFmtId="0" fontId="14" fillId="11" borderId="0" xfId="0" applyFont="1" applyFill="1" applyBorder="1" applyAlignment="1">
      <alignment horizontal="center"/>
    </xf>
    <xf numFmtId="164" fontId="13" fillId="10" borderId="1" xfId="0" applyNumberFormat="1" applyFont="1" applyFill="1" applyBorder="1" applyAlignment="1">
      <alignment horizontal="right"/>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colors>
    <mruColors>
      <color rgb="FFFFFFCC"/>
      <color rgb="FFCCFFCC"/>
      <color rgb="FFFED4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Stock Position P&amp;L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20312564775556904"/>
          <c:y val="0.20620075104809768"/>
          <c:w val="0.71641294838145231"/>
          <c:h val="0.48418771547602302"/>
        </c:manualLayout>
      </c:layout>
      <c:scatterChart>
        <c:scatterStyle val="lineMarker"/>
        <c:varyColors val="0"/>
        <c:ser>
          <c:idx val="0"/>
          <c:order val="0"/>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 Strategies'!$B$37:$B$71</c:f>
              <c:numCache>
                <c:formatCode>"$"#,##0.00</c:formatCode>
                <c:ptCount val="35"/>
                <c:pt idx="0">
                  <c:v>70</c:v>
                </c:pt>
                <c:pt idx="1">
                  <c:v>72.5</c:v>
                </c:pt>
                <c:pt idx="2">
                  <c:v>75</c:v>
                </c:pt>
                <c:pt idx="3">
                  <c:v>77.5</c:v>
                </c:pt>
                <c:pt idx="4">
                  <c:v>80</c:v>
                </c:pt>
                <c:pt idx="5">
                  <c:v>82.5</c:v>
                </c:pt>
                <c:pt idx="6">
                  <c:v>85</c:v>
                </c:pt>
                <c:pt idx="7">
                  <c:v>87.5</c:v>
                </c:pt>
                <c:pt idx="8">
                  <c:v>90</c:v>
                </c:pt>
                <c:pt idx="9">
                  <c:v>92.5</c:v>
                </c:pt>
                <c:pt idx="10">
                  <c:v>95</c:v>
                </c:pt>
                <c:pt idx="11">
                  <c:v>97.5</c:v>
                </c:pt>
                <c:pt idx="12">
                  <c:v>100</c:v>
                </c:pt>
                <c:pt idx="13">
                  <c:v>102.5</c:v>
                </c:pt>
                <c:pt idx="14">
                  <c:v>105</c:v>
                </c:pt>
                <c:pt idx="15">
                  <c:v>107.5</c:v>
                </c:pt>
                <c:pt idx="16">
                  <c:v>110</c:v>
                </c:pt>
                <c:pt idx="17">
                  <c:v>112.5</c:v>
                </c:pt>
                <c:pt idx="18">
                  <c:v>115</c:v>
                </c:pt>
                <c:pt idx="19">
                  <c:v>117.5</c:v>
                </c:pt>
                <c:pt idx="20">
                  <c:v>120</c:v>
                </c:pt>
                <c:pt idx="21">
                  <c:v>122.5</c:v>
                </c:pt>
                <c:pt idx="22">
                  <c:v>125</c:v>
                </c:pt>
                <c:pt idx="23">
                  <c:v>127.5</c:v>
                </c:pt>
                <c:pt idx="24">
                  <c:v>130</c:v>
                </c:pt>
                <c:pt idx="25">
                  <c:v>132.5</c:v>
                </c:pt>
                <c:pt idx="26">
                  <c:v>135</c:v>
                </c:pt>
                <c:pt idx="27">
                  <c:v>137.5</c:v>
                </c:pt>
                <c:pt idx="28">
                  <c:v>140</c:v>
                </c:pt>
                <c:pt idx="29">
                  <c:v>142.5</c:v>
                </c:pt>
                <c:pt idx="30">
                  <c:v>145</c:v>
                </c:pt>
                <c:pt idx="31">
                  <c:v>147.5</c:v>
                </c:pt>
                <c:pt idx="32">
                  <c:v>150</c:v>
                </c:pt>
                <c:pt idx="33">
                  <c:v>152.5</c:v>
                </c:pt>
                <c:pt idx="34">
                  <c:v>155</c:v>
                </c:pt>
              </c:numCache>
            </c:numRef>
          </c:xVal>
          <c:yVal>
            <c:numRef>
              <c:f>' Strategies'!$C$37:$C$71</c:f>
              <c:numCache>
                <c:formatCode>_("$"* #,##0.00_);_("$"* \(#,##0.00\);_("$"* "-"??_);_(@_)</c:formatCode>
                <c:ptCount val="35"/>
                <c:pt idx="0">
                  <c:v>-2565.2918400893268</c:v>
                </c:pt>
                <c:pt idx="1">
                  <c:v>-2315.2918400893268</c:v>
                </c:pt>
                <c:pt idx="2">
                  <c:v>-2065.2918400893268</c:v>
                </c:pt>
                <c:pt idx="3">
                  <c:v>-1815.2918400893268</c:v>
                </c:pt>
                <c:pt idx="4">
                  <c:v>-1565.2918400893268</c:v>
                </c:pt>
                <c:pt idx="5">
                  <c:v>-1315.2918400893268</c:v>
                </c:pt>
                <c:pt idx="6">
                  <c:v>-1065.2918400893268</c:v>
                </c:pt>
                <c:pt idx="7">
                  <c:v>-815.2918400893268</c:v>
                </c:pt>
                <c:pt idx="8">
                  <c:v>-565.2918400893268</c:v>
                </c:pt>
                <c:pt idx="9">
                  <c:v>-315.2918400893268</c:v>
                </c:pt>
                <c:pt idx="10">
                  <c:v>-65.291840089326797</c:v>
                </c:pt>
                <c:pt idx="11">
                  <c:v>184.7081599106732</c:v>
                </c:pt>
                <c:pt idx="12">
                  <c:v>434.7081599106732</c:v>
                </c:pt>
                <c:pt idx="13">
                  <c:v>684.7081599106732</c:v>
                </c:pt>
                <c:pt idx="14">
                  <c:v>934.7081599106732</c:v>
                </c:pt>
                <c:pt idx="15">
                  <c:v>1184.7081599106732</c:v>
                </c:pt>
                <c:pt idx="16">
                  <c:v>1434.7081599106732</c:v>
                </c:pt>
                <c:pt idx="17">
                  <c:v>1684.7081599106732</c:v>
                </c:pt>
                <c:pt idx="18">
                  <c:v>1934.7081599106732</c:v>
                </c:pt>
                <c:pt idx="19">
                  <c:v>2184.7081599106732</c:v>
                </c:pt>
                <c:pt idx="20">
                  <c:v>2434.7081599106732</c:v>
                </c:pt>
                <c:pt idx="21">
                  <c:v>2684.7081599106732</c:v>
                </c:pt>
                <c:pt idx="22">
                  <c:v>2934.7081599106732</c:v>
                </c:pt>
                <c:pt idx="23">
                  <c:v>3184.7081599106732</c:v>
                </c:pt>
                <c:pt idx="24">
                  <c:v>3434.7081599106732</c:v>
                </c:pt>
                <c:pt idx="25">
                  <c:v>3684.7081599106732</c:v>
                </c:pt>
                <c:pt idx="26">
                  <c:v>3934.7081599106732</c:v>
                </c:pt>
                <c:pt idx="27">
                  <c:v>4184.7081599106732</c:v>
                </c:pt>
                <c:pt idx="28">
                  <c:v>4434.7081599106732</c:v>
                </c:pt>
                <c:pt idx="29">
                  <c:v>4684.7081599106732</c:v>
                </c:pt>
                <c:pt idx="30">
                  <c:v>4934.7081599106732</c:v>
                </c:pt>
                <c:pt idx="31">
                  <c:v>5184.7081599106732</c:v>
                </c:pt>
                <c:pt idx="32">
                  <c:v>5434.7081599106732</c:v>
                </c:pt>
                <c:pt idx="33">
                  <c:v>5684.7081599106732</c:v>
                </c:pt>
                <c:pt idx="34">
                  <c:v>5934.7081599106732</c:v>
                </c:pt>
              </c:numCache>
            </c:numRef>
          </c:yVal>
          <c:smooth val="0"/>
          <c:extLst>
            <c:ext xmlns:c16="http://schemas.microsoft.com/office/drawing/2014/chart" uri="{C3380CC4-5D6E-409C-BE32-E72D297353CC}">
              <c16:uniqueId val="{00000000-5839-4FF8-9EDF-6C6BB9F06B8A}"/>
            </c:ext>
          </c:extLst>
        </c:ser>
        <c:dLbls>
          <c:showLegendKey val="0"/>
          <c:showVal val="0"/>
          <c:showCatName val="0"/>
          <c:showSerName val="0"/>
          <c:showPercent val="0"/>
          <c:showBubbleSize val="0"/>
        </c:dLbls>
        <c:axId val="522283288"/>
        <c:axId val="525268864"/>
      </c:scatterChart>
      <c:valAx>
        <c:axId val="522283288"/>
        <c:scaling>
          <c:orientation val="minMax"/>
          <c:min val="70"/>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Stock Price at Maturity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5268864"/>
        <c:crosses val="autoZero"/>
        <c:crossBetween val="midCat"/>
      </c:valAx>
      <c:valAx>
        <c:axId val="52526886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P&amp;L</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2283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Call P&amp;L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27002764235010623"/>
          <c:y val="0.16216325722627334"/>
          <c:w val="0.6536842694502718"/>
          <c:h val="0.69579055374127763"/>
        </c:manualLayout>
      </c:layout>
      <c:scatterChart>
        <c:scatterStyle val="lineMarker"/>
        <c:varyColors val="0"/>
        <c:ser>
          <c:idx val="0"/>
          <c:order val="0"/>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 Strategies'!$B$37:$B$71</c:f>
              <c:numCache>
                <c:formatCode>"$"#,##0.00</c:formatCode>
                <c:ptCount val="35"/>
                <c:pt idx="0">
                  <c:v>70</c:v>
                </c:pt>
                <c:pt idx="1">
                  <c:v>72.5</c:v>
                </c:pt>
                <c:pt idx="2">
                  <c:v>75</c:v>
                </c:pt>
                <c:pt idx="3">
                  <c:v>77.5</c:v>
                </c:pt>
                <c:pt idx="4">
                  <c:v>80</c:v>
                </c:pt>
                <c:pt idx="5">
                  <c:v>82.5</c:v>
                </c:pt>
                <c:pt idx="6">
                  <c:v>85</c:v>
                </c:pt>
                <c:pt idx="7">
                  <c:v>87.5</c:v>
                </c:pt>
                <c:pt idx="8">
                  <c:v>90</c:v>
                </c:pt>
                <c:pt idx="9">
                  <c:v>92.5</c:v>
                </c:pt>
                <c:pt idx="10">
                  <c:v>95</c:v>
                </c:pt>
                <c:pt idx="11">
                  <c:v>97.5</c:v>
                </c:pt>
                <c:pt idx="12">
                  <c:v>100</c:v>
                </c:pt>
                <c:pt idx="13">
                  <c:v>102.5</c:v>
                </c:pt>
                <c:pt idx="14">
                  <c:v>105</c:v>
                </c:pt>
                <c:pt idx="15">
                  <c:v>107.5</c:v>
                </c:pt>
                <c:pt idx="16">
                  <c:v>110</c:v>
                </c:pt>
                <c:pt idx="17">
                  <c:v>112.5</c:v>
                </c:pt>
                <c:pt idx="18">
                  <c:v>115</c:v>
                </c:pt>
                <c:pt idx="19">
                  <c:v>117.5</c:v>
                </c:pt>
                <c:pt idx="20">
                  <c:v>120</c:v>
                </c:pt>
                <c:pt idx="21">
                  <c:v>122.5</c:v>
                </c:pt>
                <c:pt idx="22">
                  <c:v>125</c:v>
                </c:pt>
                <c:pt idx="23">
                  <c:v>127.5</c:v>
                </c:pt>
                <c:pt idx="24">
                  <c:v>130</c:v>
                </c:pt>
                <c:pt idx="25">
                  <c:v>132.5</c:v>
                </c:pt>
                <c:pt idx="26">
                  <c:v>135</c:v>
                </c:pt>
                <c:pt idx="27">
                  <c:v>137.5</c:v>
                </c:pt>
                <c:pt idx="28">
                  <c:v>140</c:v>
                </c:pt>
                <c:pt idx="29">
                  <c:v>142.5</c:v>
                </c:pt>
                <c:pt idx="30">
                  <c:v>145</c:v>
                </c:pt>
                <c:pt idx="31">
                  <c:v>147.5</c:v>
                </c:pt>
                <c:pt idx="32">
                  <c:v>150</c:v>
                </c:pt>
                <c:pt idx="33">
                  <c:v>152.5</c:v>
                </c:pt>
                <c:pt idx="34">
                  <c:v>155</c:v>
                </c:pt>
              </c:numCache>
            </c:numRef>
          </c:xVal>
          <c:yVal>
            <c:numRef>
              <c:f>' Strategies'!$D$37:$D$71</c:f>
              <c:numCache>
                <c:formatCode>_("$"* #,##0.00_);_("$"* \(#,##0.00\);_("$"* "-"??_);_(@_)</c:formatCode>
                <c:ptCount val="35"/>
                <c:pt idx="0">
                  <c:v>331.2611595146725</c:v>
                </c:pt>
                <c:pt idx="1">
                  <c:v>331.2611595146725</c:v>
                </c:pt>
                <c:pt idx="2">
                  <c:v>331.2611595146725</c:v>
                </c:pt>
                <c:pt idx="3">
                  <c:v>331.2611595146725</c:v>
                </c:pt>
                <c:pt idx="4">
                  <c:v>331.2611595146725</c:v>
                </c:pt>
                <c:pt idx="5">
                  <c:v>331.2611595146725</c:v>
                </c:pt>
                <c:pt idx="6">
                  <c:v>331.2611595146725</c:v>
                </c:pt>
                <c:pt idx="7">
                  <c:v>331.2611595146725</c:v>
                </c:pt>
                <c:pt idx="8">
                  <c:v>331.2611595146725</c:v>
                </c:pt>
                <c:pt idx="9">
                  <c:v>331.2611595146725</c:v>
                </c:pt>
                <c:pt idx="10">
                  <c:v>331.2611595146725</c:v>
                </c:pt>
                <c:pt idx="11">
                  <c:v>331.2611595146725</c:v>
                </c:pt>
                <c:pt idx="12">
                  <c:v>331.2611595146725</c:v>
                </c:pt>
                <c:pt idx="13">
                  <c:v>331.2611595146725</c:v>
                </c:pt>
                <c:pt idx="14">
                  <c:v>331.2611595146725</c:v>
                </c:pt>
                <c:pt idx="15">
                  <c:v>331.2611595146725</c:v>
                </c:pt>
                <c:pt idx="16">
                  <c:v>331.2611595146725</c:v>
                </c:pt>
                <c:pt idx="17">
                  <c:v>331.2611595146725</c:v>
                </c:pt>
                <c:pt idx="18">
                  <c:v>331.2611595146725</c:v>
                </c:pt>
                <c:pt idx="19">
                  <c:v>331.2611595146725</c:v>
                </c:pt>
                <c:pt idx="20">
                  <c:v>331.2611595146725</c:v>
                </c:pt>
                <c:pt idx="21">
                  <c:v>81.261159514672499</c:v>
                </c:pt>
                <c:pt idx="22">
                  <c:v>-168.7388404853275</c:v>
                </c:pt>
                <c:pt idx="23">
                  <c:v>-418.7388404853275</c:v>
                </c:pt>
                <c:pt idx="24">
                  <c:v>-668.7388404853275</c:v>
                </c:pt>
                <c:pt idx="25">
                  <c:v>-918.7388404853275</c:v>
                </c:pt>
                <c:pt idx="26">
                  <c:v>-1168.7388404853275</c:v>
                </c:pt>
                <c:pt idx="27">
                  <c:v>-1418.7388404853275</c:v>
                </c:pt>
                <c:pt idx="28">
                  <c:v>-1668.7388404853275</c:v>
                </c:pt>
                <c:pt idx="29">
                  <c:v>-1918.7388404853275</c:v>
                </c:pt>
                <c:pt idx="30">
                  <c:v>-2168.7388404853273</c:v>
                </c:pt>
                <c:pt idx="31">
                  <c:v>-2418.7388404853273</c:v>
                </c:pt>
                <c:pt idx="32">
                  <c:v>-2668.7388404853273</c:v>
                </c:pt>
                <c:pt idx="33">
                  <c:v>-2918.7388404853273</c:v>
                </c:pt>
                <c:pt idx="34">
                  <c:v>-3168.7388404853273</c:v>
                </c:pt>
              </c:numCache>
            </c:numRef>
          </c:yVal>
          <c:smooth val="0"/>
          <c:extLst>
            <c:ext xmlns:c16="http://schemas.microsoft.com/office/drawing/2014/chart" uri="{C3380CC4-5D6E-409C-BE32-E72D297353CC}">
              <c16:uniqueId val="{00000000-3D8F-465F-BAF6-A4C711BC3B49}"/>
            </c:ext>
          </c:extLst>
        </c:ser>
        <c:dLbls>
          <c:showLegendKey val="0"/>
          <c:showVal val="0"/>
          <c:showCatName val="0"/>
          <c:showSerName val="0"/>
          <c:showPercent val="0"/>
          <c:showBubbleSize val="0"/>
        </c:dLbls>
        <c:axId val="525269256"/>
        <c:axId val="525269648"/>
      </c:scatterChart>
      <c:valAx>
        <c:axId val="525269256"/>
        <c:scaling>
          <c:orientation val="minMax"/>
          <c:min val="70"/>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Stock Price at Maturity</a:t>
                </a:r>
              </a:p>
            </c:rich>
          </c:tx>
          <c:layout>
            <c:manualLayout>
              <c:xMode val="edge"/>
              <c:yMode val="edge"/>
              <c:x val="0.36663995005739375"/>
              <c:y val="0.8977607319675611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5269648"/>
        <c:crosses val="autoZero"/>
        <c:crossBetween val="midCat"/>
      </c:valAx>
      <c:valAx>
        <c:axId val="525269648"/>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P&amp;L</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5269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Put P&amp;L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 Strategies'!$B$37:$B$71</c:f>
              <c:numCache>
                <c:formatCode>"$"#,##0.00</c:formatCode>
                <c:ptCount val="35"/>
                <c:pt idx="0">
                  <c:v>70</c:v>
                </c:pt>
                <c:pt idx="1">
                  <c:v>72.5</c:v>
                </c:pt>
                <c:pt idx="2">
                  <c:v>75</c:v>
                </c:pt>
                <c:pt idx="3">
                  <c:v>77.5</c:v>
                </c:pt>
                <c:pt idx="4">
                  <c:v>80</c:v>
                </c:pt>
                <c:pt idx="5">
                  <c:v>82.5</c:v>
                </c:pt>
                <c:pt idx="6">
                  <c:v>85</c:v>
                </c:pt>
                <c:pt idx="7">
                  <c:v>87.5</c:v>
                </c:pt>
                <c:pt idx="8">
                  <c:v>90</c:v>
                </c:pt>
                <c:pt idx="9">
                  <c:v>92.5</c:v>
                </c:pt>
                <c:pt idx="10">
                  <c:v>95</c:v>
                </c:pt>
                <c:pt idx="11">
                  <c:v>97.5</c:v>
                </c:pt>
                <c:pt idx="12">
                  <c:v>100</c:v>
                </c:pt>
                <c:pt idx="13">
                  <c:v>102.5</c:v>
                </c:pt>
                <c:pt idx="14">
                  <c:v>105</c:v>
                </c:pt>
                <c:pt idx="15">
                  <c:v>107.5</c:v>
                </c:pt>
                <c:pt idx="16">
                  <c:v>110</c:v>
                </c:pt>
                <c:pt idx="17">
                  <c:v>112.5</c:v>
                </c:pt>
                <c:pt idx="18">
                  <c:v>115</c:v>
                </c:pt>
                <c:pt idx="19">
                  <c:v>117.5</c:v>
                </c:pt>
                <c:pt idx="20">
                  <c:v>120</c:v>
                </c:pt>
                <c:pt idx="21">
                  <c:v>122.5</c:v>
                </c:pt>
                <c:pt idx="22">
                  <c:v>125</c:v>
                </c:pt>
                <c:pt idx="23">
                  <c:v>127.5</c:v>
                </c:pt>
                <c:pt idx="24">
                  <c:v>130</c:v>
                </c:pt>
                <c:pt idx="25">
                  <c:v>132.5</c:v>
                </c:pt>
                <c:pt idx="26">
                  <c:v>135</c:v>
                </c:pt>
                <c:pt idx="27">
                  <c:v>137.5</c:v>
                </c:pt>
                <c:pt idx="28">
                  <c:v>140</c:v>
                </c:pt>
                <c:pt idx="29">
                  <c:v>142.5</c:v>
                </c:pt>
                <c:pt idx="30">
                  <c:v>145</c:v>
                </c:pt>
                <c:pt idx="31">
                  <c:v>147.5</c:v>
                </c:pt>
                <c:pt idx="32">
                  <c:v>150</c:v>
                </c:pt>
                <c:pt idx="33">
                  <c:v>152.5</c:v>
                </c:pt>
                <c:pt idx="34">
                  <c:v>155</c:v>
                </c:pt>
              </c:numCache>
            </c:numRef>
          </c:xVal>
          <c:yVal>
            <c:numRef>
              <c:f>' Strategies'!$E$37:$E$71</c:f>
              <c:numCache>
                <c:formatCode>_("$"* #,##0.00_);_("$"* \(#,##0.00\);_("$"* "-"??_);_(@_)</c:formatCode>
                <c:ptCount val="35"/>
                <c:pt idx="0">
                  <c:v>597.25086989097576</c:v>
                </c:pt>
                <c:pt idx="1">
                  <c:v>347.25086989097571</c:v>
                </c:pt>
                <c:pt idx="2">
                  <c:v>97.250869890975707</c:v>
                </c:pt>
                <c:pt idx="3">
                  <c:v>-152.74913010902429</c:v>
                </c:pt>
                <c:pt idx="4">
                  <c:v>-402.74913010902429</c:v>
                </c:pt>
                <c:pt idx="5">
                  <c:v>-402.74913010902429</c:v>
                </c:pt>
                <c:pt idx="6">
                  <c:v>-402.74913010902429</c:v>
                </c:pt>
                <c:pt idx="7">
                  <c:v>-402.74913010902429</c:v>
                </c:pt>
                <c:pt idx="8">
                  <c:v>-402.74913010902429</c:v>
                </c:pt>
                <c:pt idx="9">
                  <c:v>-402.74913010902429</c:v>
                </c:pt>
                <c:pt idx="10">
                  <c:v>-402.74913010902429</c:v>
                </c:pt>
                <c:pt idx="11">
                  <c:v>-402.74913010902429</c:v>
                </c:pt>
                <c:pt idx="12">
                  <c:v>-402.74913010902429</c:v>
                </c:pt>
                <c:pt idx="13">
                  <c:v>-402.74913010902429</c:v>
                </c:pt>
                <c:pt idx="14">
                  <c:v>-402.74913010902429</c:v>
                </c:pt>
                <c:pt idx="15">
                  <c:v>-402.74913010902429</c:v>
                </c:pt>
                <c:pt idx="16">
                  <c:v>-402.74913010902429</c:v>
                </c:pt>
                <c:pt idx="17">
                  <c:v>-402.74913010902429</c:v>
                </c:pt>
                <c:pt idx="18">
                  <c:v>-402.74913010902429</c:v>
                </c:pt>
                <c:pt idx="19">
                  <c:v>-402.74913010902429</c:v>
                </c:pt>
                <c:pt idx="20">
                  <c:v>-402.74913010902429</c:v>
                </c:pt>
                <c:pt idx="21">
                  <c:v>-402.74913010902429</c:v>
                </c:pt>
                <c:pt idx="22">
                  <c:v>-402.74913010902429</c:v>
                </c:pt>
                <c:pt idx="23">
                  <c:v>-402.74913010902429</c:v>
                </c:pt>
                <c:pt idx="24">
                  <c:v>-402.74913010902429</c:v>
                </c:pt>
                <c:pt idx="25">
                  <c:v>-402.74913010902429</c:v>
                </c:pt>
                <c:pt idx="26">
                  <c:v>-402.74913010902429</c:v>
                </c:pt>
                <c:pt idx="27">
                  <c:v>-402.74913010902429</c:v>
                </c:pt>
                <c:pt idx="28">
                  <c:v>-402.74913010902429</c:v>
                </c:pt>
                <c:pt idx="29">
                  <c:v>-402.74913010902429</c:v>
                </c:pt>
                <c:pt idx="30">
                  <c:v>-402.74913010902429</c:v>
                </c:pt>
                <c:pt idx="31">
                  <c:v>-402.74913010902429</c:v>
                </c:pt>
                <c:pt idx="32">
                  <c:v>-402.74913010902429</c:v>
                </c:pt>
                <c:pt idx="33">
                  <c:v>-402.74913010902429</c:v>
                </c:pt>
                <c:pt idx="34">
                  <c:v>-402.74913010902429</c:v>
                </c:pt>
              </c:numCache>
            </c:numRef>
          </c:yVal>
          <c:smooth val="0"/>
          <c:extLst>
            <c:ext xmlns:c16="http://schemas.microsoft.com/office/drawing/2014/chart" uri="{C3380CC4-5D6E-409C-BE32-E72D297353CC}">
              <c16:uniqueId val="{00000000-AB5E-45A0-B799-E978F04D22CC}"/>
            </c:ext>
          </c:extLst>
        </c:ser>
        <c:dLbls>
          <c:showLegendKey val="0"/>
          <c:showVal val="0"/>
          <c:showCatName val="0"/>
          <c:showSerName val="0"/>
          <c:showPercent val="0"/>
          <c:showBubbleSize val="0"/>
        </c:dLbls>
        <c:axId val="525271216"/>
        <c:axId val="525271608"/>
      </c:scatterChart>
      <c:valAx>
        <c:axId val="525271216"/>
        <c:scaling>
          <c:orientation val="minMax"/>
          <c:min val="70"/>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Stock Price at Maturity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5271608"/>
        <c:crosses val="autoZero"/>
        <c:crossBetween val="midCat"/>
      </c:valAx>
      <c:valAx>
        <c:axId val="525271608"/>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P&amp;L</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5271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Total Position P&amp;L</a:t>
            </a:r>
          </a:p>
        </c:rich>
      </c:tx>
      <c:layout>
        <c:manualLayout>
          <c:xMode val="edge"/>
          <c:yMode val="edge"/>
          <c:x val="0.42500521503808564"/>
          <c:y val="7.6440067676544956E-3"/>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spPr>
            <a:ln w="22225" cap="rnd">
              <a:solidFill>
                <a:srgbClr val="00B050"/>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 Strategies'!$B$37:$B$71</c:f>
              <c:numCache>
                <c:formatCode>"$"#,##0.00</c:formatCode>
                <c:ptCount val="35"/>
                <c:pt idx="0">
                  <c:v>70</c:v>
                </c:pt>
                <c:pt idx="1">
                  <c:v>72.5</c:v>
                </c:pt>
                <c:pt idx="2">
                  <c:v>75</c:v>
                </c:pt>
                <c:pt idx="3">
                  <c:v>77.5</c:v>
                </c:pt>
                <c:pt idx="4">
                  <c:v>80</c:v>
                </c:pt>
                <c:pt idx="5">
                  <c:v>82.5</c:v>
                </c:pt>
                <c:pt idx="6">
                  <c:v>85</c:v>
                </c:pt>
                <c:pt idx="7">
                  <c:v>87.5</c:v>
                </c:pt>
                <c:pt idx="8">
                  <c:v>90</c:v>
                </c:pt>
                <c:pt idx="9">
                  <c:v>92.5</c:v>
                </c:pt>
                <c:pt idx="10">
                  <c:v>95</c:v>
                </c:pt>
                <c:pt idx="11">
                  <c:v>97.5</c:v>
                </c:pt>
                <c:pt idx="12">
                  <c:v>100</c:v>
                </c:pt>
                <c:pt idx="13">
                  <c:v>102.5</c:v>
                </c:pt>
                <c:pt idx="14">
                  <c:v>105</c:v>
                </c:pt>
                <c:pt idx="15">
                  <c:v>107.5</c:v>
                </c:pt>
                <c:pt idx="16">
                  <c:v>110</c:v>
                </c:pt>
                <c:pt idx="17">
                  <c:v>112.5</c:v>
                </c:pt>
                <c:pt idx="18">
                  <c:v>115</c:v>
                </c:pt>
                <c:pt idx="19">
                  <c:v>117.5</c:v>
                </c:pt>
                <c:pt idx="20">
                  <c:v>120</c:v>
                </c:pt>
                <c:pt idx="21">
                  <c:v>122.5</c:v>
                </c:pt>
                <c:pt idx="22">
                  <c:v>125</c:v>
                </c:pt>
                <c:pt idx="23">
                  <c:v>127.5</c:v>
                </c:pt>
                <c:pt idx="24">
                  <c:v>130</c:v>
                </c:pt>
                <c:pt idx="25">
                  <c:v>132.5</c:v>
                </c:pt>
                <c:pt idx="26">
                  <c:v>135</c:v>
                </c:pt>
                <c:pt idx="27">
                  <c:v>137.5</c:v>
                </c:pt>
                <c:pt idx="28">
                  <c:v>140</c:v>
                </c:pt>
                <c:pt idx="29">
                  <c:v>142.5</c:v>
                </c:pt>
                <c:pt idx="30">
                  <c:v>145</c:v>
                </c:pt>
                <c:pt idx="31">
                  <c:v>147.5</c:v>
                </c:pt>
                <c:pt idx="32">
                  <c:v>150</c:v>
                </c:pt>
                <c:pt idx="33">
                  <c:v>152.5</c:v>
                </c:pt>
                <c:pt idx="34">
                  <c:v>155</c:v>
                </c:pt>
              </c:numCache>
            </c:numRef>
          </c:xVal>
          <c:yVal>
            <c:numRef>
              <c:f>' Strategies'!$F$37:$F$71</c:f>
              <c:numCache>
                <c:formatCode>_("$"* #,##0.00_);_("$"* \(#,##0.00\);_("$"* "-"??_);_(@_)</c:formatCode>
                <c:ptCount val="35"/>
                <c:pt idx="0">
                  <c:v>-1636.7798106836785</c:v>
                </c:pt>
                <c:pt idx="1">
                  <c:v>-1636.7798106836785</c:v>
                </c:pt>
                <c:pt idx="2">
                  <c:v>-1636.7798106836785</c:v>
                </c:pt>
                <c:pt idx="3">
                  <c:v>-1636.7798106836785</c:v>
                </c:pt>
                <c:pt idx="4">
                  <c:v>-1636.7798106836785</c:v>
                </c:pt>
                <c:pt idx="5">
                  <c:v>-1386.7798106836785</c:v>
                </c:pt>
                <c:pt idx="6">
                  <c:v>-1136.7798106836785</c:v>
                </c:pt>
                <c:pt idx="7">
                  <c:v>-886.77981068367853</c:v>
                </c:pt>
                <c:pt idx="8">
                  <c:v>-636.77981068367853</c:v>
                </c:pt>
                <c:pt idx="9">
                  <c:v>-386.77981068367859</c:v>
                </c:pt>
                <c:pt idx="10">
                  <c:v>-136.77981068367859</c:v>
                </c:pt>
                <c:pt idx="11">
                  <c:v>113.22018931632141</c:v>
                </c:pt>
                <c:pt idx="12">
                  <c:v>363.22018931632141</c:v>
                </c:pt>
                <c:pt idx="13">
                  <c:v>613.22018931632147</c:v>
                </c:pt>
                <c:pt idx="14">
                  <c:v>863.22018931632147</c:v>
                </c:pt>
                <c:pt idx="15">
                  <c:v>1113.2201893163215</c:v>
                </c:pt>
                <c:pt idx="16">
                  <c:v>1363.2201893163215</c:v>
                </c:pt>
                <c:pt idx="17">
                  <c:v>1613.2201893163215</c:v>
                </c:pt>
                <c:pt idx="18">
                  <c:v>1863.2201893163215</c:v>
                </c:pt>
                <c:pt idx="19">
                  <c:v>2113.2201893163215</c:v>
                </c:pt>
                <c:pt idx="20">
                  <c:v>2363.2201893163215</c:v>
                </c:pt>
                <c:pt idx="21">
                  <c:v>2363.2201893163215</c:v>
                </c:pt>
                <c:pt idx="22">
                  <c:v>2363.2201893163215</c:v>
                </c:pt>
                <c:pt idx="23">
                  <c:v>2363.2201893163215</c:v>
                </c:pt>
                <c:pt idx="24">
                  <c:v>2363.2201893163215</c:v>
                </c:pt>
                <c:pt idx="25">
                  <c:v>2363.2201893163215</c:v>
                </c:pt>
                <c:pt idx="26">
                  <c:v>2363.2201893163215</c:v>
                </c:pt>
                <c:pt idx="27">
                  <c:v>2363.2201893163215</c:v>
                </c:pt>
                <c:pt idx="28">
                  <c:v>2363.2201893163215</c:v>
                </c:pt>
                <c:pt idx="29">
                  <c:v>2363.2201893163215</c:v>
                </c:pt>
                <c:pt idx="30">
                  <c:v>2363.2201893163215</c:v>
                </c:pt>
                <c:pt idx="31">
                  <c:v>2363.2201893163215</c:v>
                </c:pt>
                <c:pt idx="32">
                  <c:v>2363.2201893163215</c:v>
                </c:pt>
                <c:pt idx="33">
                  <c:v>2363.2201893163215</c:v>
                </c:pt>
                <c:pt idx="34">
                  <c:v>2363.2201893163215</c:v>
                </c:pt>
              </c:numCache>
            </c:numRef>
          </c:yVal>
          <c:smooth val="0"/>
          <c:extLst>
            <c:ext xmlns:c16="http://schemas.microsoft.com/office/drawing/2014/chart" uri="{C3380CC4-5D6E-409C-BE32-E72D297353CC}">
              <c16:uniqueId val="{00000000-E54E-4BF5-9BF3-F89F8C5BF010}"/>
            </c:ext>
          </c:extLst>
        </c:ser>
        <c:dLbls>
          <c:showLegendKey val="0"/>
          <c:showVal val="0"/>
          <c:showCatName val="0"/>
          <c:showSerName val="0"/>
          <c:showPercent val="0"/>
          <c:showBubbleSize val="0"/>
        </c:dLbls>
        <c:axId val="525268472"/>
        <c:axId val="528427400"/>
      </c:scatterChart>
      <c:valAx>
        <c:axId val="525268472"/>
        <c:scaling>
          <c:orientation val="minMax"/>
          <c:min val="70"/>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Stock Price at Maturity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427400"/>
        <c:crosses val="autoZero"/>
        <c:crossBetween val="midCat"/>
      </c:valAx>
      <c:valAx>
        <c:axId val="528427400"/>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P&amp;L</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52684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141432</xdr:colOff>
      <xdr:row>31</xdr:row>
      <xdr:rowOff>172363</xdr:rowOff>
    </xdr:from>
    <xdr:to>
      <xdr:col>10</xdr:col>
      <xdr:colOff>548410</xdr:colOff>
      <xdr:row>43</xdr:row>
      <xdr:rowOff>197233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154612</xdr:colOff>
      <xdr:row>44</xdr:row>
      <xdr:rowOff>80817</xdr:rowOff>
    </xdr:from>
    <xdr:to>
      <xdr:col>10</xdr:col>
      <xdr:colOff>546622</xdr:colOff>
      <xdr:row>55</xdr:row>
      <xdr:rowOff>78893</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163270</xdr:colOff>
      <xdr:row>55</xdr:row>
      <xdr:rowOff>116416</xdr:rowOff>
    </xdr:from>
    <xdr:to>
      <xdr:col>10</xdr:col>
      <xdr:colOff>555280</xdr:colOff>
      <xdr:row>67</xdr:row>
      <xdr:rowOff>121611</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615825</xdr:colOff>
      <xdr:row>31</xdr:row>
      <xdr:rowOff>147794</xdr:rowOff>
    </xdr:from>
    <xdr:to>
      <xdr:col>18</xdr:col>
      <xdr:colOff>889000</xdr:colOff>
      <xdr:row>55</xdr:row>
      <xdr:rowOff>127000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567CC-5185-4930-8766-F0F789D08C70}">
  <dimension ref="A1:P32"/>
  <sheetViews>
    <sheetView showGridLines="0" zoomScale="112" zoomScaleNormal="112" workbookViewId="0">
      <selection activeCell="H12" sqref="H12"/>
    </sheetView>
  </sheetViews>
  <sheetFormatPr defaultColWidth="9" defaultRowHeight="16" x14ac:dyDescent="0.35"/>
  <cols>
    <col min="1" max="1" width="12.6328125" style="37" customWidth="1"/>
    <col min="2" max="2" width="10.81640625" style="37" customWidth="1"/>
    <col min="3" max="3" width="4" style="37" customWidth="1"/>
    <col min="4" max="4" width="12.6328125" style="37" customWidth="1"/>
    <col min="5" max="5" width="10" style="37" bestFit="1" customWidth="1"/>
    <col min="6" max="6" width="9" style="37"/>
    <col min="7" max="7" width="10.7265625" style="37" customWidth="1"/>
    <col min="8" max="8" width="10.08984375" style="37" customWidth="1"/>
    <col min="9" max="9" width="10" style="37" bestFit="1" customWidth="1"/>
    <col min="10" max="10" width="16.6328125" style="37" customWidth="1"/>
    <col min="11" max="11" width="10" style="37" bestFit="1" customWidth="1"/>
    <col min="12" max="16384" width="9" style="37"/>
  </cols>
  <sheetData>
    <row r="1" spans="1:11" ht="17" x14ac:dyDescent="0.4">
      <c r="A1" s="14" t="s">
        <v>114</v>
      </c>
      <c r="D1" s="14" t="s">
        <v>115</v>
      </c>
      <c r="G1" s="14" t="s">
        <v>116</v>
      </c>
    </row>
    <row r="2" spans="1:11" x14ac:dyDescent="0.35">
      <c r="D2" s="14"/>
      <c r="G2" s="14"/>
    </row>
    <row r="3" spans="1:11" x14ac:dyDescent="0.35">
      <c r="A3" s="14" t="s">
        <v>8</v>
      </c>
      <c r="D3" s="1" t="s">
        <v>99</v>
      </c>
      <c r="E3" s="2"/>
      <c r="F3" s="2"/>
      <c r="K3" s="40" t="s">
        <v>132</v>
      </c>
    </row>
    <row r="4" spans="1:11" ht="17" x14ac:dyDescent="0.45">
      <c r="A4" s="14" t="s">
        <v>117</v>
      </c>
      <c r="B4" s="38">
        <v>50</v>
      </c>
      <c r="D4" s="2" t="s">
        <v>100</v>
      </c>
      <c r="E4" s="2" t="s">
        <v>101</v>
      </c>
      <c r="F4" s="2"/>
      <c r="I4" s="42">
        <f>IF(B5&gt;B4,B5-B4,0)</f>
        <v>50</v>
      </c>
      <c r="J4" s="40" t="str">
        <f ca="1">_xlfn.FORMULATEXT(I4)</f>
        <v>=IF(B5&gt;B4,B5-B4,0)</v>
      </c>
      <c r="K4" s="64" t="s">
        <v>136</v>
      </c>
    </row>
    <row r="5" spans="1:11" ht="17.5" x14ac:dyDescent="0.45">
      <c r="A5" s="14" t="s">
        <v>118</v>
      </c>
      <c r="B5" s="38">
        <v>100</v>
      </c>
      <c r="D5" s="2" t="s">
        <v>102</v>
      </c>
      <c r="E5" s="2" t="s">
        <v>103</v>
      </c>
      <c r="F5" s="2"/>
      <c r="I5" s="43">
        <f>MAX(B5-B4,0)</f>
        <v>50</v>
      </c>
      <c r="J5" s="40" t="str">
        <f t="shared" ref="J5:J15" ca="1" si="0">_xlfn.FORMULATEXT(I5)</f>
        <v>=MAX(B5-B4,0)</v>
      </c>
    </row>
    <row r="6" spans="1:11" x14ac:dyDescent="0.35">
      <c r="A6" s="14"/>
      <c r="B6" s="38"/>
      <c r="D6" s="1" t="s">
        <v>104</v>
      </c>
      <c r="E6" s="2"/>
      <c r="F6" s="2"/>
      <c r="J6" s="40"/>
    </row>
    <row r="7" spans="1:11" ht="17" x14ac:dyDescent="0.45">
      <c r="A7" s="14"/>
      <c r="B7" s="38"/>
      <c r="D7" s="2" t="s">
        <v>100</v>
      </c>
      <c r="E7" s="2" t="s">
        <v>105</v>
      </c>
      <c r="F7" s="2"/>
      <c r="I7" s="42">
        <f>IF(B5&gt;B4,B4-B5,0)</f>
        <v>-50</v>
      </c>
      <c r="J7" s="40" t="str">
        <f t="shared" ca="1" si="0"/>
        <v>=IF(B5&gt;B4,B4-B5,0)</v>
      </c>
      <c r="K7" s="64" t="s">
        <v>135</v>
      </c>
    </row>
    <row r="8" spans="1:11" ht="17" x14ac:dyDescent="0.45">
      <c r="A8" s="14"/>
      <c r="B8" s="38"/>
      <c r="D8" s="2" t="s">
        <v>106</v>
      </c>
      <c r="E8" s="2" t="s">
        <v>107</v>
      </c>
      <c r="F8" s="2"/>
      <c r="I8" s="43">
        <f>MIN(B4-B5,0)</f>
        <v>-50</v>
      </c>
      <c r="J8" s="40" t="str">
        <f t="shared" ca="1" si="0"/>
        <v>=MIN(B4-B5,0)</v>
      </c>
    </row>
    <row r="9" spans="1:11" x14ac:dyDescent="0.35">
      <c r="J9" s="40"/>
    </row>
    <row r="10" spans="1:11" x14ac:dyDescent="0.35">
      <c r="A10" s="14" t="s">
        <v>9</v>
      </c>
      <c r="B10" s="38"/>
      <c r="D10" s="1" t="s">
        <v>108</v>
      </c>
      <c r="E10" s="2"/>
      <c r="F10" s="2"/>
      <c r="J10" s="40"/>
    </row>
    <row r="11" spans="1:11" ht="17" x14ac:dyDescent="0.45">
      <c r="A11" s="14" t="s">
        <v>119</v>
      </c>
      <c r="B11" s="38">
        <v>60</v>
      </c>
      <c r="D11" s="2" t="s">
        <v>100</v>
      </c>
      <c r="E11" s="2" t="s">
        <v>109</v>
      </c>
      <c r="F11" s="2"/>
      <c r="I11" s="42">
        <f>IF(B12&lt;B11,B11-B12,0)</f>
        <v>50</v>
      </c>
      <c r="J11" s="40" t="str">
        <f t="shared" ca="1" si="0"/>
        <v>=IF(B12&lt;B11,B11-B12,0)</v>
      </c>
      <c r="K11" s="64" t="s">
        <v>134</v>
      </c>
    </row>
    <row r="12" spans="1:11" ht="17.5" x14ac:dyDescent="0.45">
      <c r="A12" s="14" t="s">
        <v>118</v>
      </c>
      <c r="B12" s="38">
        <v>10</v>
      </c>
      <c r="D12" s="2" t="s">
        <v>102</v>
      </c>
      <c r="E12" s="2" t="s">
        <v>110</v>
      </c>
      <c r="F12" s="2"/>
      <c r="I12" s="43">
        <f>MAX(B11-B12,0)</f>
        <v>50</v>
      </c>
      <c r="J12" s="40" t="str">
        <f t="shared" ca="1" si="0"/>
        <v>=MAX(B11-B12,0)</v>
      </c>
    </row>
    <row r="13" spans="1:11" x14ac:dyDescent="0.35">
      <c r="A13" s="14"/>
      <c r="B13" s="38"/>
      <c r="D13" s="1" t="s">
        <v>111</v>
      </c>
      <c r="E13" s="2"/>
      <c r="F13" s="2"/>
      <c r="J13" s="40"/>
    </row>
    <row r="14" spans="1:11" ht="17" x14ac:dyDescent="0.45">
      <c r="A14" s="14"/>
      <c r="B14" s="38"/>
      <c r="D14" s="2" t="s">
        <v>100</v>
      </c>
      <c r="E14" s="2" t="s">
        <v>112</v>
      </c>
      <c r="F14" s="2"/>
      <c r="I14" s="42">
        <f>IF(B12&lt;B11,B12-B11,0)</f>
        <v>-50</v>
      </c>
      <c r="J14" s="40" t="str">
        <f t="shared" ca="1" si="0"/>
        <v>=IF(B12&lt;B11,B12-B11,0)</v>
      </c>
      <c r="K14" s="64" t="s">
        <v>133</v>
      </c>
    </row>
    <row r="15" spans="1:11" ht="17" x14ac:dyDescent="0.45">
      <c r="A15" s="14"/>
      <c r="B15" s="38"/>
      <c r="D15" s="2" t="s">
        <v>106</v>
      </c>
      <c r="E15" s="2" t="s">
        <v>113</v>
      </c>
      <c r="F15" s="2"/>
      <c r="I15" s="43">
        <f>MIN(B12-B11,0)</f>
        <v>-50</v>
      </c>
      <c r="J15" s="40" t="str">
        <f t="shared" ca="1" si="0"/>
        <v>=MIN(B12-B11,0)</v>
      </c>
    </row>
    <row r="16" spans="1:11" x14ac:dyDescent="0.35">
      <c r="B16" s="41"/>
    </row>
    <row r="17" spans="1:16" x14ac:dyDescent="0.35">
      <c r="B17" s="41"/>
      <c r="N17" s="45" t="s">
        <v>126</v>
      </c>
      <c r="O17" s="46"/>
      <c r="P17" s="46"/>
    </row>
    <row r="18" spans="1:16" x14ac:dyDescent="0.35">
      <c r="A18" s="84" t="s">
        <v>120</v>
      </c>
      <c r="B18" s="84"/>
      <c r="D18" s="84" t="s">
        <v>121</v>
      </c>
      <c r="E18" s="84"/>
      <c r="G18" s="84" t="s">
        <v>122</v>
      </c>
      <c r="H18" s="84"/>
      <c r="J18" s="84" t="s">
        <v>123</v>
      </c>
      <c r="K18" s="84"/>
      <c r="N18" s="44" t="s">
        <v>124</v>
      </c>
    </row>
    <row r="19" spans="1:16" x14ac:dyDescent="0.35">
      <c r="A19" s="41"/>
      <c r="B19" s="43">
        <f>I5</f>
        <v>50</v>
      </c>
      <c r="D19" s="41"/>
      <c r="E19" s="43">
        <f>I8</f>
        <v>-50</v>
      </c>
      <c r="G19" s="41"/>
      <c r="H19" s="43">
        <f>I12</f>
        <v>50</v>
      </c>
      <c r="J19" s="41"/>
      <c r="K19" s="43">
        <f>I15</f>
        <v>-50</v>
      </c>
      <c r="N19" s="37" t="s">
        <v>125</v>
      </c>
    </row>
    <row r="20" spans="1:16" x14ac:dyDescent="0.35">
      <c r="A20" s="41">
        <v>0</v>
      </c>
      <c r="B20" s="39">
        <f t="dataTable" ref="B20:B32" dt2D="0" dtr="0" r1="B5"/>
        <v>0</v>
      </c>
      <c r="D20" s="41">
        <v>0</v>
      </c>
      <c r="E20" s="39">
        <f t="dataTable" ref="E20:E32" dt2D="0" dtr="0" r1="B5" ca="1"/>
        <v>0</v>
      </c>
      <c r="G20" s="41">
        <v>0</v>
      </c>
      <c r="H20" s="39">
        <f t="dataTable" ref="H20:H32" dt2D="0" dtr="0" r1="B12"/>
        <v>60</v>
      </c>
      <c r="J20" s="41">
        <v>0</v>
      </c>
      <c r="K20" s="39">
        <f t="dataTable" ref="K20:K32" dt2D="0" dtr="0" r1="B12" ca="1"/>
        <v>-60</v>
      </c>
      <c r="N20" s="47" t="s">
        <v>127</v>
      </c>
    </row>
    <row r="21" spans="1:16" x14ac:dyDescent="0.35">
      <c r="A21" s="41">
        <v>10</v>
      </c>
      <c r="B21" s="39">
        <v>0</v>
      </c>
      <c r="D21" s="41">
        <v>10</v>
      </c>
      <c r="E21" s="39">
        <v>0</v>
      </c>
      <c r="G21" s="41">
        <v>10</v>
      </c>
      <c r="H21" s="39">
        <v>50</v>
      </c>
      <c r="J21" s="41">
        <v>10</v>
      </c>
      <c r="K21" s="39">
        <v>-50</v>
      </c>
      <c r="N21" s="47" t="s">
        <v>128</v>
      </c>
    </row>
    <row r="22" spans="1:16" x14ac:dyDescent="0.35">
      <c r="A22" s="41">
        <v>20</v>
      </c>
      <c r="B22" s="39">
        <v>0</v>
      </c>
      <c r="D22" s="41">
        <v>20</v>
      </c>
      <c r="E22" s="39">
        <v>0</v>
      </c>
      <c r="G22" s="41">
        <v>20</v>
      </c>
      <c r="H22" s="39">
        <v>40</v>
      </c>
      <c r="J22" s="41">
        <v>20</v>
      </c>
      <c r="K22" s="39">
        <v>-40</v>
      </c>
    </row>
    <row r="23" spans="1:16" x14ac:dyDescent="0.35">
      <c r="A23" s="41">
        <v>30</v>
      </c>
      <c r="B23" s="39">
        <v>0</v>
      </c>
      <c r="D23" s="41">
        <v>30</v>
      </c>
      <c r="E23" s="39">
        <v>0</v>
      </c>
      <c r="G23" s="41">
        <v>30</v>
      </c>
      <c r="H23" s="39">
        <v>30</v>
      </c>
      <c r="J23" s="41">
        <v>30</v>
      </c>
      <c r="K23" s="39">
        <v>-30</v>
      </c>
    </row>
    <row r="24" spans="1:16" x14ac:dyDescent="0.35">
      <c r="A24" s="41">
        <v>40</v>
      </c>
      <c r="B24" s="39">
        <v>0</v>
      </c>
      <c r="D24" s="41">
        <v>40</v>
      </c>
      <c r="E24" s="39">
        <v>0</v>
      </c>
      <c r="G24" s="41">
        <v>40</v>
      </c>
      <c r="H24" s="39">
        <v>20</v>
      </c>
      <c r="J24" s="41">
        <v>40</v>
      </c>
      <c r="K24" s="39">
        <v>-20</v>
      </c>
    </row>
    <row r="25" spans="1:16" x14ac:dyDescent="0.35">
      <c r="A25" s="41">
        <v>50</v>
      </c>
      <c r="B25" s="39">
        <v>0</v>
      </c>
      <c r="D25" s="41">
        <v>50</v>
      </c>
      <c r="E25" s="39">
        <v>0</v>
      </c>
      <c r="G25" s="41">
        <v>50</v>
      </c>
      <c r="H25" s="39">
        <v>10</v>
      </c>
      <c r="J25" s="41">
        <v>50</v>
      </c>
      <c r="K25" s="39">
        <v>-10</v>
      </c>
    </row>
    <row r="26" spans="1:16" x14ac:dyDescent="0.35">
      <c r="A26" s="41">
        <v>60</v>
      </c>
      <c r="B26" s="39">
        <v>10</v>
      </c>
      <c r="D26" s="41">
        <v>60</v>
      </c>
      <c r="E26" s="39">
        <v>-10</v>
      </c>
      <c r="G26" s="41">
        <v>60</v>
      </c>
      <c r="H26" s="39">
        <v>0</v>
      </c>
      <c r="J26" s="41">
        <v>60</v>
      </c>
      <c r="K26" s="39">
        <v>0</v>
      </c>
    </row>
    <row r="27" spans="1:16" x14ac:dyDescent="0.35">
      <c r="A27" s="41">
        <v>70</v>
      </c>
      <c r="B27" s="39">
        <v>20</v>
      </c>
      <c r="D27" s="41">
        <v>70</v>
      </c>
      <c r="E27" s="39">
        <v>-20</v>
      </c>
      <c r="G27" s="41">
        <v>70</v>
      </c>
      <c r="H27" s="39">
        <v>0</v>
      </c>
      <c r="J27" s="41">
        <v>70</v>
      </c>
      <c r="K27" s="39">
        <v>0</v>
      </c>
    </row>
    <row r="28" spans="1:16" x14ac:dyDescent="0.35">
      <c r="A28" s="41">
        <v>80</v>
      </c>
      <c r="B28" s="39">
        <v>30</v>
      </c>
      <c r="D28" s="41">
        <v>80</v>
      </c>
      <c r="E28" s="39">
        <v>-30</v>
      </c>
      <c r="G28" s="41">
        <v>80</v>
      </c>
      <c r="H28" s="39">
        <v>0</v>
      </c>
      <c r="J28" s="41">
        <v>80</v>
      </c>
      <c r="K28" s="39">
        <v>0</v>
      </c>
    </row>
    <row r="29" spans="1:16" x14ac:dyDescent="0.35">
      <c r="A29" s="41">
        <v>90</v>
      </c>
      <c r="B29" s="39">
        <v>40</v>
      </c>
      <c r="D29" s="41">
        <v>90</v>
      </c>
      <c r="E29" s="39">
        <v>-40</v>
      </c>
      <c r="G29" s="41">
        <v>90</v>
      </c>
      <c r="H29" s="39">
        <v>0</v>
      </c>
      <c r="J29" s="41">
        <v>90</v>
      </c>
      <c r="K29" s="39">
        <v>0</v>
      </c>
    </row>
    <row r="30" spans="1:16" x14ac:dyDescent="0.35">
      <c r="A30" s="41">
        <v>100</v>
      </c>
      <c r="B30" s="39">
        <v>50</v>
      </c>
      <c r="D30" s="41">
        <v>100</v>
      </c>
      <c r="E30" s="39">
        <v>-50</v>
      </c>
      <c r="G30" s="41">
        <v>100</v>
      </c>
      <c r="H30" s="39">
        <v>0</v>
      </c>
      <c r="J30" s="41">
        <v>100</v>
      </c>
      <c r="K30" s="39">
        <v>0</v>
      </c>
    </row>
    <row r="31" spans="1:16" x14ac:dyDescent="0.35">
      <c r="A31" s="41">
        <v>110</v>
      </c>
      <c r="B31" s="39">
        <v>60</v>
      </c>
      <c r="D31" s="41">
        <v>110</v>
      </c>
      <c r="E31" s="39">
        <v>-60</v>
      </c>
      <c r="G31" s="41">
        <v>110</v>
      </c>
      <c r="H31" s="39">
        <v>0</v>
      </c>
      <c r="J31" s="41">
        <v>110</v>
      </c>
      <c r="K31" s="39">
        <v>0</v>
      </c>
    </row>
    <row r="32" spans="1:16" x14ac:dyDescent="0.35">
      <c r="A32" s="41">
        <v>120</v>
      </c>
      <c r="B32" s="39">
        <v>70</v>
      </c>
      <c r="D32" s="41">
        <v>120</v>
      </c>
      <c r="E32" s="39">
        <v>-70</v>
      </c>
      <c r="G32" s="41">
        <v>120</v>
      </c>
      <c r="H32" s="39">
        <v>0</v>
      </c>
      <c r="J32" s="41">
        <v>120</v>
      </c>
      <c r="K32" s="39">
        <v>0</v>
      </c>
    </row>
  </sheetData>
  <mergeCells count="4">
    <mergeCell ref="A18:B18"/>
    <mergeCell ref="D18:E18"/>
    <mergeCell ref="G18:H18"/>
    <mergeCell ref="J18:K1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38"/>
  <sheetViews>
    <sheetView showGridLines="0" tabSelected="1" zoomScale="95" zoomScaleNormal="90" workbookViewId="0">
      <selection activeCell="G49" sqref="G49"/>
    </sheetView>
  </sheetViews>
  <sheetFormatPr defaultColWidth="9" defaultRowHeight="15.5" x14ac:dyDescent="0.35"/>
  <cols>
    <col min="1" max="1" width="9" style="81"/>
    <col min="2" max="2" width="27" style="2" customWidth="1"/>
    <col min="3" max="3" width="15.08984375" style="2" customWidth="1"/>
    <col min="4" max="4" width="22.26953125" style="2" customWidth="1"/>
    <col min="5" max="5" width="16.26953125" style="2" customWidth="1"/>
    <col min="6" max="6" width="15.26953125" style="2" customWidth="1"/>
    <col min="7" max="7" width="12.90625" style="2" customWidth="1"/>
    <col min="8" max="8" width="13" style="2" bestFit="1" customWidth="1"/>
    <col min="9" max="9" width="13.26953125" style="2" customWidth="1"/>
    <col min="10" max="10" width="11.453125" style="2" bestFit="1" customWidth="1"/>
    <col min="11" max="11" width="10.6328125" style="2" customWidth="1"/>
    <col min="12" max="12" width="12.08984375" style="2" customWidth="1"/>
    <col min="13" max="13" width="10.6328125" style="2" customWidth="1"/>
    <col min="14" max="14" width="12.26953125" style="2" customWidth="1"/>
    <col min="15" max="16" width="10.6328125" style="2" customWidth="1"/>
    <col min="17" max="17" width="9.7265625" style="2" customWidth="1"/>
    <col min="18" max="18" width="9" style="2"/>
    <col min="19" max="19" width="14" style="2" customWidth="1"/>
    <col min="20" max="20" width="16.453125" style="2" customWidth="1"/>
    <col min="21" max="21" width="81.26953125" style="2" customWidth="1"/>
    <col min="22" max="22" width="15.36328125" style="2" customWidth="1"/>
    <col min="23" max="23" width="8.7265625" customWidth="1"/>
    <col min="24" max="16384" width="9" style="2"/>
  </cols>
  <sheetData>
    <row r="1" spans="1:24" s="81" customFormat="1" x14ac:dyDescent="0.35">
      <c r="G1" s="83" t="s">
        <v>142</v>
      </c>
      <c r="L1" s="83" t="s">
        <v>142</v>
      </c>
      <c r="W1" s="82"/>
    </row>
    <row r="2" spans="1:24" x14ac:dyDescent="0.35">
      <c r="B2" s="14" t="s">
        <v>5</v>
      </c>
      <c r="F2" s="32" t="s">
        <v>18</v>
      </c>
      <c r="G2" s="12"/>
      <c r="H2" s="12"/>
      <c r="I2" s="12"/>
      <c r="K2" s="34" t="s">
        <v>96</v>
      </c>
      <c r="L2" s="35" t="s">
        <v>92</v>
      </c>
      <c r="M2" s="35"/>
    </row>
    <row r="3" spans="1:24" x14ac:dyDescent="0.35">
      <c r="B3" s="49"/>
      <c r="C3" s="49"/>
      <c r="D3" s="48" t="s">
        <v>131</v>
      </c>
      <c r="F3" s="12" t="s">
        <v>15</v>
      </c>
      <c r="G3" s="12" t="s">
        <v>86</v>
      </c>
      <c r="H3" s="12"/>
      <c r="I3" s="12"/>
      <c r="K3" s="35"/>
      <c r="L3" s="35" t="s">
        <v>91</v>
      </c>
      <c r="M3" s="35"/>
      <c r="U3" s="13" t="s">
        <v>33</v>
      </c>
      <c r="V3" s="3"/>
    </row>
    <row r="4" spans="1:24" x14ac:dyDescent="0.35">
      <c r="B4" s="50" t="s">
        <v>0</v>
      </c>
      <c r="C4" s="51">
        <v>44202</v>
      </c>
      <c r="D4" s="52"/>
      <c r="F4" s="12" t="s">
        <v>129</v>
      </c>
      <c r="G4" s="12" t="s">
        <v>87</v>
      </c>
      <c r="H4" s="12"/>
      <c r="I4" s="12"/>
      <c r="K4" s="35"/>
      <c r="L4" s="35" t="s">
        <v>93</v>
      </c>
      <c r="M4" s="35"/>
      <c r="U4" s="66" t="s">
        <v>36</v>
      </c>
      <c r="V4" s="26"/>
      <c r="X4" s="2" t="s">
        <v>24</v>
      </c>
    </row>
    <row r="5" spans="1:24" x14ac:dyDescent="0.35">
      <c r="B5" s="53" t="s">
        <v>1</v>
      </c>
      <c r="C5" s="54">
        <v>95</v>
      </c>
      <c r="D5" s="55" t="s">
        <v>16</v>
      </c>
      <c r="F5" s="12" t="s">
        <v>16</v>
      </c>
      <c r="G5" s="12" t="s">
        <v>88</v>
      </c>
      <c r="H5" s="12"/>
      <c r="I5" s="12"/>
      <c r="K5" s="35"/>
      <c r="L5" s="35" t="s">
        <v>94</v>
      </c>
      <c r="M5" s="35"/>
      <c r="U5" s="2" t="s">
        <v>35</v>
      </c>
      <c r="V5" s="1"/>
      <c r="X5" s="2" t="s">
        <v>25</v>
      </c>
    </row>
    <row r="6" spans="1:24" x14ac:dyDescent="0.35">
      <c r="B6" s="53" t="s">
        <v>2</v>
      </c>
      <c r="C6" s="56">
        <v>44302</v>
      </c>
      <c r="D6" s="57"/>
      <c r="F6" s="12" t="s">
        <v>17</v>
      </c>
      <c r="G6" s="12" t="s">
        <v>89</v>
      </c>
      <c r="H6" s="12"/>
      <c r="I6" s="12"/>
      <c r="K6" s="35"/>
      <c r="L6" s="35" t="s">
        <v>95</v>
      </c>
      <c r="M6" s="35"/>
    </row>
    <row r="7" spans="1:24" x14ac:dyDescent="0.35">
      <c r="B7" s="53" t="s">
        <v>130</v>
      </c>
      <c r="C7" s="58">
        <f>YEARFRAC(C4,C6,1)</f>
        <v>0.27397260273972601</v>
      </c>
      <c r="D7" s="77" t="str">
        <f t="shared" ref="D7" ca="1" si="0">_xlfn.FORMULATEXT(C7)</f>
        <v>=YEARFRAC(C4,C6,1)</v>
      </c>
      <c r="G7" s="76" t="str">
        <f ca="1">_xlfn.FORMULATEXT(G10)</f>
        <v>=VLOOKUP(G$9,$B$14:$D$33,2,FALSE)</v>
      </c>
      <c r="U7" s="2" t="s">
        <v>43</v>
      </c>
    </row>
    <row r="8" spans="1:24" x14ac:dyDescent="0.35">
      <c r="A8" s="83" t="s">
        <v>142</v>
      </c>
      <c r="B8" s="53" t="s">
        <v>4</v>
      </c>
      <c r="C8" s="59">
        <v>2.5000000000000001E-2</v>
      </c>
      <c r="D8" s="55" t="s">
        <v>15</v>
      </c>
      <c r="F8" s="86" t="s">
        <v>19</v>
      </c>
      <c r="G8" s="86"/>
      <c r="H8" s="86"/>
      <c r="I8" s="86"/>
      <c r="J8" s="86"/>
      <c r="K8" s="86"/>
      <c r="L8" s="86"/>
      <c r="M8" s="86"/>
      <c r="N8" s="86"/>
      <c r="O8" s="86"/>
      <c r="P8" s="86"/>
      <c r="Q8" s="86"/>
      <c r="U8" s="2" t="s">
        <v>37</v>
      </c>
    </row>
    <row r="9" spans="1:24" x14ac:dyDescent="0.35">
      <c r="B9" s="53" t="s">
        <v>10</v>
      </c>
      <c r="C9" s="60">
        <v>100</v>
      </c>
      <c r="D9" s="57"/>
      <c r="F9" s="9" t="s">
        <v>7</v>
      </c>
      <c r="G9" s="21">
        <v>75</v>
      </c>
      <c r="H9" s="21">
        <f>G9+5</f>
        <v>80</v>
      </c>
      <c r="I9" s="21">
        <f t="shared" ref="I9:Q9" si="1">H9+5</f>
        <v>85</v>
      </c>
      <c r="J9" s="21">
        <f t="shared" si="1"/>
        <v>90</v>
      </c>
      <c r="K9" s="21">
        <f t="shared" si="1"/>
        <v>95</v>
      </c>
      <c r="L9" s="21">
        <f t="shared" si="1"/>
        <v>100</v>
      </c>
      <c r="M9" s="21">
        <f t="shared" si="1"/>
        <v>105</v>
      </c>
      <c r="N9" s="21">
        <f t="shared" si="1"/>
        <v>110</v>
      </c>
      <c r="O9" s="21">
        <f t="shared" si="1"/>
        <v>115</v>
      </c>
      <c r="P9" s="21">
        <f t="shared" si="1"/>
        <v>120</v>
      </c>
      <c r="Q9" s="21">
        <f t="shared" si="1"/>
        <v>125</v>
      </c>
    </row>
    <row r="10" spans="1:24" x14ac:dyDescent="0.35">
      <c r="B10" s="61" t="s">
        <v>3</v>
      </c>
      <c r="C10" s="62">
        <v>100</v>
      </c>
      <c r="D10" s="63" t="s">
        <v>129</v>
      </c>
      <c r="F10" s="9" t="s">
        <v>97</v>
      </c>
      <c r="G10" s="20">
        <f>VLOOKUP(G$9,$B$14:$D$33,2,FALSE)</f>
        <v>19.47</v>
      </c>
      <c r="H10" s="20">
        <f t="shared" ref="H10:Q10" si="2">VLOOKUP(H$9,$B$14:$D$33,2,FALSE)</f>
        <v>18.25</v>
      </c>
      <c r="I10" s="20">
        <f t="shared" si="2"/>
        <v>15.55</v>
      </c>
      <c r="J10" s="20">
        <f t="shared" si="2"/>
        <v>12.7</v>
      </c>
      <c r="K10" s="20">
        <f t="shared" si="2"/>
        <v>10.199999999999999</v>
      </c>
      <c r="L10" s="20">
        <f t="shared" si="2"/>
        <v>8.27</v>
      </c>
      <c r="M10" s="20">
        <f t="shared" si="2"/>
        <v>6.53</v>
      </c>
      <c r="N10" s="20">
        <f t="shared" si="2"/>
        <v>5.25</v>
      </c>
      <c r="O10" s="20">
        <f t="shared" si="2"/>
        <v>4.25</v>
      </c>
      <c r="P10" s="20">
        <f t="shared" si="2"/>
        <v>3.29</v>
      </c>
      <c r="Q10" s="20">
        <f t="shared" si="2"/>
        <v>2.5499999999999998</v>
      </c>
      <c r="U10" s="2" t="s">
        <v>34</v>
      </c>
    </row>
    <row r="11" spans="1:24" x14ac:dyDescent="0.35">
      <c r="F11" s="9" t="s">
        <v>98</v>
      </c>
      <c r="G11" s="19" t="s">
        <v>25</v>
      </c>
      <c r="H11" s="19" t="s">
        <v>25</v>
      </c>
      <c r="I11" s="19" t="s">
        <v>25</v>
      </c>
      <c r="J11" s="19" t="s">
        <v>25</v>
      </c>
      <c r="K11" s="19" t="s">
        <v>25</v>
      </c>
      <c r="L11" s="19" t="s">
        <v>25</v>
      </c>
      <c r="M11" s="19" t="s">
        <v>25</v>
      </c>
      <c r="N11" s="19" t="s">
        <v>25</v>
      </c>
      <c r="O11" s="19" t="s">
        <v>25</v>
      </c>
      <c r="P11" s="19" t="s">
        <v>25</v>
      </c>
      <c r="Q11" s="19" t="s">
        <v>25</v>
      </c>
      <c r="U11" s="2" t="s">
        <v>38</v>
      </c>
    </row>
    <row r="12" spans="1:24" x14ac:dyDescent="0.35">
      <c r="B12" s="85" t="s">
        <v>6</v>
      </c>
      <c r="C12" s="85"/>
      <c r="D12" s="85"/>
      <c r="F12" s="9" t="s">
        <v>20</v>
      </c>
      <c r="G12" s="19">
        <v>0</v>
      </c>
      <c r="H12" s="19">
        <v>0</v>
      </c>
      <c r="I12" s="19">
        <v>0</v>
      </c>
      <c r="J12" s="19">
        <v>0</v>
      </c>
      <c r="K12" s="19">
        <v>0</v>
      </c>
      <c r="L12" s="19">
        <v>0</v>
      </c>
      <c r="M12" s="19">
        <v>0</v>
      </c>
      <c r="N12" s="19">
        <v>0</v>
      </c>
      <c r="O12" s="19">
        <v>0</v>
      </c>
      <c r="P12" s="19">
        <v>1</v>
      </c>
      <c r="Q12" s="19">
        <v>0</v>
      </c>
    </row>
    <row r="13" spans="1:24" x14ac:dyDescent="0.35">
      <c r="B13" s="4" t="s">
        <v>7</v>
      </c>
      <c r="C13" s="4" t="s">
        <v>8</v>
      </c>
      <c r="D13" s="4" t="s">
        <v>9</v>
      </c>
      <c r="F13" s="9" t="s">
        <v>21</v>
      </c>
      <c r="G13" s="16">
        <f t="shared" ref="G13:Q13" si="3">IF(G11="B", MAX(stockatT-G9,0)*G12*$C$9, MIN(G9-stockatT,0)*G12*$C$9)</f>
        <v>0</v>
      </c>
      <c r="H13" s="16">
        <f t="shared" si="3"/>
        <v>0</v>
      </c>
      <c r="I13" s="16">
        <f t="shared" si="3"/>
        <v>0</v>
      </c>
      <c r="J13" s="16">
        <f t="shared" si="3"/>
        <v>0</v>
      </c>
      <c r="K13" s="16">
        <f t="shared" si="3"/>
        <v>0</v>
      </c>
      <c r="L13" s="16">
        <f t="shared" si="3"/>
        <v>0</v>
      </c>
      <c r="M13" s="16">
        <f t="shared" si="3"/>
        <v>0</v>
      </c>
      <c r="N13" s="16">
        <f t="shared" si="3"/>
        <v>0</v>
      </c>
      <c r="O13" s="16">
        <f t="shared" si="3"/>
        <v>0</v>
      </c>
      <c r="P13" s="16">
        <f t="shared" si="3"/>
        <v>0</v>
      </c>
      <c r="Q13" s="16">
        <f t="shared" si="3"/>
        <v>0</v>
      </c>
      <c r="R13" s="8" t="str">
        <f t="shared" ref="R13:R15" ca="1" si="4">_xlfn.FORMULATEXT(Q13)</f>
        <v>=IF(Q11="B", MAX(stockatT-Q9,0)*Q12*$C$9, MIN(Q9-stockatT,0)*Q12*$C$9)</v>
      </c>
      <c r="U13" s="2" t="s">
        <v>39</v>
      </c>
    </row>
    <row r="14" spans="1:24" x14ac:dyDescent="0.35">
      <c r="B14" s="18">
        <v>70</v>
      </c>
      <c r="C14" s="15">
        <v>26.37</v>
      </c>
      <c r="D14" s="15">
        <v>1.82</v>
      </c>
      <c r="F14" s="9" t="s">
        <v>22</v>
      </c>
      <c r="G14" s="16">
        <f t="shared" ref="G14:Q14" si="5">IF(G11="B",-G10*G12*$C$9,G10*G12*$C$9)*EXP(riskfree*time)</f>
        <v>0</v>
      </c>
      <c r="H14" s="16">
        <f t="shared" si="5"/>
        <v>0</v>
      </c>
      <c r="I14" s="16">
        <f t="shared" si="5"/>
        <v>0</v>
      </c>
      <c r="J14" s="16">
        <f t="shared" si="5"/>
        <v>0</v>
      </c>
      <c r="K14" s="16">
        <f t="shared" si="5"/>
        <v>0</v>
      </c>
      <c r="L14" s="16">
        <f t="shared" si="5"/>
        <v>0</v>
      </c>
      <c r="M14" s="16">
        <f t="shared" si="5"/>
        <v>0</v>
      </c>
      <c r="N14" s="16">
        <f t="shared" si="5"/>
        <v>0</v>
      </c>
      <c r="O14" s="16">
        <f t="shared" si="5"/>
        <v>0</v>
      </c>
      <c r="P14" s="16">
        <f t="shared" si="5"/>
        <v>331.2611595146725</v>
      </c>
      <c r="Q14" s="16">
        <f t="shared" si="5"/>
        <v>0</v>
      </c>
      <c r="R14" s="8" t="str">
        <f t="shared" ca="1" si="4"/>
        <v>=IF(Q11="B",-Q10*Q12*$C$9,Q10*Q12*$C$9)*EXP(riskfree*time)</v>
      </c>
      <c r="U14" s="2" t="s">
        <v>40</v>
      </c>
    </row>
    <row r="15" spans="1:24" x14ac:dyDescent="0.35">
      <c r="B15" s="18">
        <v>72.5</v>
      </c>
      <c r="C15" s="15">
        <v>21.15</v>
      </c>
      <c r="D15" s="15">
        <v>2.4</v>
      </c>
      <c r="F15" s="9" t="s">
        <v>23</v>
      </c>
      <c r="G15" s="16">
        <f>G14+G13</f>
        <v>0</v>
      </c>
      <c r="H15" s="16">
        <f t="shared" ref="H15:Q15" si="6">H14+H13</f>
        <v>0</v>
      </c>
      <c r="I15" s="16">
        <f t="shared" si="6"/>
        <v>0</v>
      </c>
      <c r="J15" s="16">
        <f t="shared" si="6"/>
        <v>0</v>
      </c>
      <c r="K15" s="16">
        <f t="shared" si="6"/>
        <v>0</v>
      </c>
      <c r="L15" s="16">
        <f t="shared" si="6"/>
        <v>0</v>
      </c>
      <c r="M15" s="16">
        <f t="shared" si="6"/>
        <v>0</v>
      </c>
      <c r="N15" s="16">
        <f t="shared" si="6"/>
        <v>0</v>
      </c>
      <c r="O15" s="16">
        <f t="shared" si="6"/>
        <v>0</v>
      </c>
      <c r="P15" s="16">
        <f t="shared" si="6"/>
        <v>331.2611595146725</v>
      </c>
      <c r="Q15" s="16">
        <f t="shared" si="6"/>
        <v>0</v>
      </c>
      <c r="R15" s="8" t="str">
        <f t="shared" ca="1" si="4"/>
        <v>=Q14+Q13</v>
      </c>
    </row>
    <row r="16" spans="1:24" x14ac:dyDescent="0.35">
      <c r="B16" s="18">
        <v>75</v>
      </c>
      <c r="C16" s="15">
        <v>19.47</v>
      </c>
      <c r="D16" s="15">
        <v>2.8</v>
      </c>
      <c r="F16"/>
      <c r="G16" s="78" t="str">
        <f ca="1">_xlfn.FORMULATEXT(G13)</f>
        <v>=IF(G11="B", MAX(stockatT-G9,0)*G12*$C$9, MIN(G9-stockatT,0)*G12*$C$9)</v>
      </c>
      <c r="H16"/>
      <c r="I16"/>
      <c r="J16"/>
      <c r="K16"/>
      <c r="L16"/>
      <c r="M16"/>
      <c r="N16"/>
      <c r="O16"/>
      <c r="P16"/>
      <c r="Q16"/>
      <c r="R16" s="8"/>
      <c r="U16" s="2" t="s">
        <v>51</v>
      </c>
    </row>
    <row r="17" spans="1:22" x14ac:dyDescent="0.35">
      <c r="B17" s="18">
        <v>77.5</v>
      </c>
      <c r="C17" s="15">
        <v>19</v>
      </c>
      <c r="D17" s="15">
        <v>3.3</v>
      </c>
      <c r="H17" s="72"/>
      <c r="N17" s="1" t="s">
        <v>26</v>
      </c>
      <c r="O17" s="79">
        <f>SUM(G15:Q15)</f>
        <v>331.2611595146725</v>
      </c>
      <c r="P17" s="8" t="str">
        <f t="shared" ref="P17" ca="1" si="7">_xlfn.FORMULATEXT(O17)</f>
        <v>=SUM(G15:Q15)</v>
      </c>
      <c r="R17" s="8"/>
      <c r="U17" s="2" t="s">
        <v>52</v>
      </c>
    </row>
    <row r="18" spans="1:22" x14ac:dyDescent="0.35">
      <c r="B18" s="18">
        <v>80</v>
      </c>
      <c r="C18" s="15">
        <v>18.25</v>
      </c>
      <c r="D18" s="15">
        <v>4</v>
      </c>
      <c r="R18" s="8"/>
    </row>
    <row r="19" spans="1:22" x14ac:dyDescent="0.35">
      <c r="A19" s="83" t="s">
        <v>142</v>
      </c>
      <c r="B19" s="18">
        <v>82.5</v>
      </c>
      <c r="C19" s="15">
        <v>16.850000000000001</v>
      </c>
      <c r="D19" s="15">
        <v>4.9000000000000004</v>
      </c>
      <c r="F19" s="86" t="s">
        <v>27</v>
      </c>
      <c r="G19" s="86"/>
      <c r="H19" s="86"/>
      <c r="I19" s="86"/>
      <c r="J19" s="86"/>
      <c r="K19" s="86"/>
      <c r="L19" s="86"/>
      <c r="M19" s="86"/>
      <c r="N19" s="86"/>
      <c r="O19" s="86"/>
      <c r="P19" s="86"/>
      <c r="Q19" s="86"/>
      <c r="R19" s="8"/>
      <c r="U19" s="2" t="s">
        <v>56</v>
      </c>
    </row>
    <row r="20" spans="1:22" x14ac:dyDescent="0.35">
      <c r="B20" s="18">
        <v>85</v>
      </c>
      <c r="C20" s="15">
        <v>15.55</v>
      </c>
      <c r="D20" s="15">
        <v>5.9</v>
      </c>
      <c r="F20" s="9" t="s">
        <v>7</v>
      </c>
      <c r="G20" s="21">
        <v>75</v>
      </c>
      <c r="H20" s="21">
        <f>G20+5</f>
        <v>80</v>
      </c>
      <c r="I20" s="21">
        <f t="shared" ref="I20:Q20" si="8">H20+5</f>
        <v>85</v>
      </c>
      <c r="J20" s="21">
        <f t="shared" si="8"/>
        <v>90</v>
      </c>
      <c r="K20" s="21">
        <f t="shared" si="8"/>
        <v>95</v>
      </c>
      <c r="L20" s="21">
        <f t="shared" si="8"/>
        <v>100</v>
      </c>
      <c r="M20" s="21">
        <f t="shared" si="8"/>
        <v>105</v>
      </c>
      <c r="N20" s="21">
        <f t="shared" si="8"/>
        <v>110</v>
      </c>
      <c r="O20" s="21">
        <f t="shared" si="8"/>
        <v>115</v>
      </c>
      <c r="P20" s="21">
        <f t="shared" si="8"/>
        <v>120</v>
      </c>
      <c r="Q20" s="21">
        <f t="shared" si="8"/>
        <v>125</v>
      </c>
      <c r="R20" s="8"/>
      <c r="U20" s="2" t="s">
        <v>59</v>
      </c>
    </row>
    <row r="21" spans="1:22" x14ac:dyDescent="0.35">
      <c r="B21" s="18">
        <v>87.5</v>
      </c>
      <c r="C21" s="15">
        <v>13.61</v>
      </c>
      <c r="D21" s="15">
        <v>6.8</v>
      </c>
      <c r="F21" s="9" t="s">
        <v>97</v>
      </c>
      <c r="G21" s="20">
        <f>VLOOKUP(G$20,$B$14:$D$33,3,FALSE)</f>
        <v>2.8</v>
      </c>
      <c r="H21" s="20">
        <f t="shared" ref="H21:Q21" si="9">VLOOKUP(H$20,$B$14:$D$33,3,FALSE)</f>
        <v>4</v>
      </c>
      <c r="I21" s="20">
        <f t="shared" si="9"/>
        <v>5.9</v>
      </c>
      <c r="J21" s="20">
        <f t="shared" si="9"/>
        <v>8.07</v>
      </c>
      <c r="K21" s="20">
        <f t="shared" si="9"/>
        <v>11.53</v>
      </c>
      <c r="L21" s="20">
        <f t="shared" si="9"/>
        <v>15.68</v>
      </c>
      <c r="M21" s="20">
        <f t="shared" si="9"/>
        <v>17.5</v>
      </c>
      <c r="N21" s="20">
        <f t="shared" si="9"/>
        <v>22.3</v>
      </c>
      <c r="O21" s="20">
        <f t="shared" si="9"/>
        <v>26.5</v>
      </c>
      <c r="P21" s="20">
        <f t="shared" si="9"/>
        <v>30.75</v>
      </c>
      <c r="Q21" s="20">
        <f t="shared" si="9"/>
        <v>34.950000000000003</v>
      </c>
      <c r="R21" s="8"/>
    </row>
    <row r="22" spans="1:22" x14ac:dyDescent="0.35">
      <c r="B22" s="18">
        <v>90</v>
      </c>
      <c r="C22" s="15">
        <v>12.7</v>
      </c>
      <c r="D22" s="15">
        <v>8.07</v>
      </c>
      <c r="F22" s="9" t="s">
        <v>98</v>
      </c>
      <c r="G22" s="19" t="s">
        <v>24</v>
      </c>
      <c r="H22" s="19" t="s">
        <v>24</v>
      </c>
      <c r="I22" s="19" t="s">
        <v>25</v>
      </c>
      <c r="J22" s="19" t="s">
        <v>25</v>
      </c>
      <c r="K22" s="19" t="s">
        <v>25</v>
      </c>
      <c r="L22" s="19" t="s">
        <v>24</v>
      </c>
      <c r="M22" s="19" t="s">
        <v>25</v>
      </c>
      <c r="N22" s="19" t="s">
        <v>24</v>
      </c>
      <c r="O22" s="19" t="s">
        <v>24</v>
      </c>
      <c r="P22" s="19" t="s">
        <v>24</v>
      </c>
      <c r="Q22" s="19" t="s">
        <v>24</v>
      </c>
      <c r="R22" s="8"/>
      <c r="U22" s="2" t="s">
        <v>55</v>
      </c>
    </row>
    <row r="23" spans="1:22" ht="16.5" x14ac:dyDescent="0.45">
      <c r="B23" s="18">
        <v>92.5</v>
      </c>
      <c r="C23" s="15">
        <v>10.99</v>
      </c>
      <c r="D23" s="15">
        <v>9.64</v>
      </c>
      <c r="F23" s="9" t="s">
        <v>20</v>
      </c>
      <c r="G23" s="19">
        <v>0</v>
      </c>
      <c r="H23" s="19">
        <v>1</v>
      </c>
      <c r="I23" s="19">
        <v>0</v>
      </c>
      <c r="J23" s="19">
        <v>0</v>
      </c>
      <c r="K23" s="19">
        <v>0</v>
      </c>
      <c r="L23" s="19">
        <v>0</v>
      </c>
      <c r="M23" s="19">
        <v>0</v>
      </c>
      <c r="N23" s="19">
        <v>0</v>
      </c>
      <c r="O23" s="19">
        <v>0</v>
      </c>
      <c r="P23" s="19">
        <v>0</v>
      </c>
      <c r="Q23" s="19">
        <v>0</v>
      </c>
      <c r="R23" s="8"/>
      <c r="U23" s="2" t="s">
        <v>50</v>
      </c>
    </row>
    <row r="24" spans="1:22" x14ac:dyDescent="0.35">
      <c r="B24" s="18">
        <v>95</v>
      </c>
      <c r="C24" s="15">
        <v>10.199999999999999</v>
      </c>
      <c r="D24" s="15">
        <v>11.53</v>
      </c>
      <c r="F24" s="9" t="s">
        <v>21</v>
      </c>
      <c r="G24" s="16">
        <f t="shared" ref="G24:Q24" si="10">IF(G22="B", MAX(G20-stockatT,0)*G23*$C$9, MIN(stockatT-G20,0)*G23*$C$9)</f>
        <v>0</v>
      </c>
      <c r="H24" s="16">
        <f t="shared" si="10"/>
        <v>0</v>
      </c>
      <c r="I24" s="16">
        <f t="shared" si="10"/>
        <v>0</v>
      </c>
      <c r="J24" s="16">
        <f t="shared" si="10"/>
        <v>0</v>
      </c>
      <c r="K24" s="16">
        <f t="shared" si="10"/>
        <v>0</v>
      </c>
      <c r="L24" s="16">
        <f t="shared" si="10"/>
        <v>0</v>
      </c>
      <c r="M24" s="16">
        <f t="shared" si="10"/>
        <v>0</v>
      </c>
      <c r="N24" s="16">
        <f t="shared" si="10"/>
        <v>0</v>
      </c>
      <c r="O24" s="16">
        <f t="shared" si="10"/>
        <v>0</v>
      </c>
      <c r="P24" s="16">
        <f t="shared" si="10"/>
        <v>0</v>
      </c>
      <c r="Q24" s="16">
        <f t="shared" si="10"/>
        <v>0</v>
      </c>
      <c r="R24" s="8" t="str">
        <f t="shared" ref="R24:R26" ca="1" si="11">_xlfn.FORMULATEXT(Q24)</f>
        <v>=IF(Q22="B", MAX(Q20-stockatT,0)*Q23*$C$9, MIN(stockatT-Q20,0)*Q23*$C$9)</v>
      </c>
    </row>
    <row r="25" spans="1:22" x14ac:dyDescent="0.35">
      <c r="B25" s="18">
        <v>97.5</v>
      </c>
      <c r="C25" s="15">
        <v>8.9499999999999993</v>
      </c>
      <c r="D25" s="15">
        <v>13.94</v>
      </c>
      <c r="F25" s="9" t="s">
        <v>22</v>
      </c>
      <c r="G25" s="16">
        <f t="shared" ref="G25:Q25" si="12">IF(G22="B",-G21*G23*$C$9,G21*G23*$C$9)*EXP(riskfree*time)</f>
        <v>0</v>
      </c>
      <c r="H25" s="16">
        <f t="shared" si="12"/>
        <v>-402.74913010902429</v>
      </c>
      <c r="I25" s="16">
        <f t="shared" si="12"/>
        <v>0</v>
      </c>
      <c r="J25" s="16">
        <f t="shared" si="12"/>
        <v>0</v>
      </c>
      <c r="K25" s="16">
        <f t="shared" si="12"/>
        <v>0</v>
      </c>
      <c r="L25" s="16">
        <f>IF(L22="B",-L21*L23*$C$9,L21*L23*$C$9)*EXP(riskfree*time)</f>
        <v>0</v>
      </c>
      <c r="M25" s="16">
        <f t="shared" si="12"/>
        <v>0</v>
      </c>
      <c r="N25" s="16">
        <f t="shared" si="12"/>
        <v>0</v>
      </c>
      <c r="O25" s="16">
        <f t="shared" si="12"/>
        <v>0</v>
      </c>
      <c r="P25" s="16">
        <f t="shared" si="12"/>
        <v>0</v>
      </c>
      <c r="Q25" s="16">
        <f t="shared" si="12"/>
        <v>0</v>
      </c>
      <c r="R25" s="8" t="str">
        <f t="shared" ca="1" si="11"/>
        <v>=IF(Q22="B",-Q21*Q23*$C$9,Q21*Q23*$C$9)*EXP(riskfree*time)</v>
      </c>
      <c r="U25" s="67" t="s">
        <v>41</v>
      </c>
      <c r="V25" s="27"/>
    </row>
    <row r="26" spans="1:22" x14ac:dyDescent="0.35">
      <c r="B26" s="18">
        <v>100</v>
      </c>
      <c r="C26" s="15">
        <v>8.27</v>
      </c>
      <c r="D26" s="15">
        <v>15.68</v>
      </c>
      <c r="F26" s="9" t="s">
        <v>23</v>
      </c>
      <c r="G26" s="16">
        <f>G25+G24</f>
        <v>0</v>
      </c>
      <c r="H26" s="16">
        <f t="shared" ref="H26:Q26" si="13">H25+H24</f>
        <v>-402.74913010902429</v>
      </c>
      <c r="I26" s="16">
        <f t="shared" si="13"/>
        <v>0</v>
      </c>
      <c r="J26" s="16">
        <f t="shared" si="13"/>
        <v>0</v>
      </c>
      <c r="K26" s="16">
        <f t="shared" si="13"/>
        <v>0</v>
      </c>
      <c r="L26" s="16">
        <f>L25+L24</f>
        <v>0</v>
      </c>
      <c r="M26" s="16">
        <f t="shared" si="13"/>
        <v>0</v>
      </c>
      <c r="N26" s="16">
        <f t="shared" si="13"/>
        <v>0</v>
      </c>
      <c r="O26" s="16">
        <f t="shared" si="13"/>
        <v>0</v>
      </c>
      <c r="P26" s="16">
        <f t="shared" si="13"/>
        <v>0</v>
      </c>
      <c r="Q26" s="16">
        <f t="shared" si="13"/>
        <v>0</v>
      </c>
      <c r="R26" s="8" t="str">
        <f t="shared" ca="1" si="11"/>
        <v>=Q25+Q24</v>
      </c>
      <c r="U26" s="2" t="s">
        <v>42</v>
      </c>
    </row>
    <row r="27" spans="1:22" x14ac:dyDescent="0.35">
      <c r="B27" s="18">
        <v>105</v>
      </c>
      <c r="C27" s="15">
        <v>6.53</v>
      </c>
      <c r="D27" s="15">
        <v>17.5</v>
      </c>
      <c r="F27" s="9"/>
      <c r="G27" s="75" t="str">
        <f ca="1">_xlfn.FORMULATEXT(G24)</f>
        <v>=IF(G22="B", MAX(G20-stockatT,0)*G23*$C$9, MIN(stockatT-G20,0)*G23*$C$9)</v>
      </c>
      <c r="H27" s="9"/>
      <c r="I27" s="9"/>
      <c r="J27" s="9"/>
      <c r="K27" s="9"/>
      <c r="L27" s="9"/>
      <c r="M27" s="9"/>
      <c r="N27" s="9"/>
      <c r="O27" s="9"/>
      <c r="P27" s="9"/>
      <c r="Q27" s="9"/>
      <c r="R27" s="9"/>
    </row>
    <row r="28" spans="1:22" x14ac:dyDescent="0.35">
      <c r="B28" s="18">
        <v>110</v>
      </c>
      <c r="C28" s="15">
        <v>5.25</v>
      </c>
      <c r="D28" s="15">
        <v>22.3</v>
      </c>
      <c r="N28" s="1" t="s">
        <v>28</v>
      </c>
      <c r="O28" s="79">
        <f>SUM(G26:Q26)</f>
        <v>-402.74913010902429</v>
      </c>
      <c r="P28" s="8" t="str">
        <f t="shared" ref="P28:P30" ca="1" si="14">_xlfn.FORMULATEXT(O28)</f>
        <v>=SUM(G26:Q26)</v>
      </c>
      <c r="Q28" s="9"/>
      <c r="R28" s="9"/>
    </row>
    <row r="29" spans="1:22" x14ac:dyDescent="0.35">
      <c r="A29" s="83" t="s">
        <v>142</v>
      </c>
      <c r="B29" s="18">
        <v>115</v>
      </c>
      <c r="C29" s="15">
        <v>4.25</v>
      </c>
      <c r="D29" s="15">
        <v>26.5</v>
      </c>
      <c r="F29" s="87" t="s">
        <v>14</v>
      </c>
      <c r="G29" s="87"/>
      <c r="H29" s="87"/>
      <c r="I29" s="87"/>
      <c r="J29" s="9"/>
      <c r="Q29"/>
      <c r="R29" s="8"/>
    </row>
    <row r="30" spans="1:22" ht="26.25" customHeight="1" x14ac:dyDescent="0.35">
      <c r="B30" s="73">
        <v>120</v>
      </c>
      <c r="C30" s="74">
        <v>3.29</v>
      </c>
      <c r="D30" s="74">
        <v>30.75</v>
      </c>
      <c r="F30" s="29" t="s">
        <v>141</v>
      </c>
      <c r="G30" s="29" t="s">
        <v>11</v>
      </c>
      <c r="H30" s="29" t="s">
        <v>12</v>
      </c>
      <c r="I30" s="29" t="s">
        <v>13</v>
      </c>
      <c r="J30"/>
      <c r="N30" s="10" t="s">
        <v>29</v>
      </c>
      <c r="O30" s="80">
        <f>SUM(O17,O28,I31)</f>
        <v>363.22018931632141</v>
      </c>
      <c r="P30" s="8" t="str">
        <f t="shared" ca="1" si="14"/>
        <v>=SUM(O17,O28,I31)</v>
      </c>
      <c r="U30" s="2" t="s">
        <v>44</v>
      </c>
    </row>
    <row r="31" spans="1:22" x14ac:dyDescent="0.35">
      <c r="B31" s="18">
        <v>125</v>
      </c>
      <c r="C31" s="15">
        <v>2.5499999999999998</v>
      </c>
      <c r="D31" s="15">
        <v>34.950000000000003</v>
      </c>
      <c r="F31" s="19" t="s">
        <v>24</v>
      </c>
      <c r="G31" s="6">
        <v>100</v>
      </c>
      <c r="H31" s="7">
        <f>IF(F31="B",-stocktime0*$G$31,stocktime0*G31)</f>
        <v>-9500</v>
      </c>
      <c r="I31" s="33">
        <f>IF(F31="B",(stockatT*G31)+(H31*EXP(riskfree*time)),(H31*EXP(riskfree*time))-(stockatT*G31))</f>
        <v>434.7081599106732</v>
      </c>
      <c r="J31" s="8" t="str">
        <f ca="1">_xlfn.FORMULATEXT(I31)</f>
        <v>=IF(F31="B",(stockatT*G31)+(H31*EXP(riskfree*time)),(H31*EXP(riskfree*time))-(stockatT*G31))</v>
      </c>
      <c r="U31" s="2" t="s">
        <v>45</v>
      </c>
    </row>
    <row r="32" spans="1:22" x14ac:dyDescent="0.35">
      <c r="B32" s="18">
        <v>130</v>
      </c>
      <c r="C32" s="15">
        <v>1.76</v>
      </c>
      <c r="D32" s="15">
        <v>40.1</v>
      </c>
    </row>
    <row r="33" spans="1:22" x14ac:dyDescent="0.35">
      <c r="B33" s="18">
        <v>135</v>
      </c>
      <c r="C33" s="15">
        <v>1.54</v>
      </c>
      <c r="D33" s="15">
        <v>43.45</v>
      </c>
      <c r="U33" s="2" t="s">
        <v>46</v>
      </c>
    </row>
    <row r="34" spans="1:22" x14ac:dyDescent="0.35">
      <c r="U34" s="2" t="s">
        <v>47</v>
      </c>
    </row>
    <row r="35" spans="1:22" x14ac:dyDescent="0.35">
      <c r="A35" s="83" t="s">
        <v>142</v>
      </c>
      <c r="B35" s="30"/>
      <c r="C35" s="31" t="s">
        <v>31</v>
      </c>
      <c r="D35" s="31" t="s">
        <v>8</v>
      </c>
      <c r="E35" s="31" t="s">
        <v>9</v>
      </c>
      <c r="F35" s="31" t="s">
        <v>32</v>
      </c>
    </row>
    <row r="36" spans="1:22" x14ac:dyDescent="0.35">
      <c r="B36" s="1" t="s">
        <v>30</v>
      </c>
      <c r="C36" s="28">
        <f>I31</f>
        <v>434.7081599106732</v>
      </c>
      <c r="D36" s="88">
        <f>O17</f>
        <v>331.2611595146725</v>
      </c>
      <c r="E36" s="28">
        <f>O28</f>
        <v>-402.74913010902429</v>
      </c>
      <c r="F36" s="88">
        <f>O30</f>
        <v>363.22018931632141</v>
      </c>
      <c r="U36" s="2" t="s">
        <v>48</v>
      </c>
    </row>
    <row r="37" spans="1:22" ht="16.5" x14ac:dyDescent="0.45">
      <c r="B37" s="5">
        <v>70</v>
      </c>
      <c r="C37" s="36">
        <f t="dataTable" ref="C37:F71" dt2D="0" dtr="0" r1="C10"/>
        <v>-2565.2918400893268</v>
      </c>
      <c r="D37" s="17">
        <v>331.2611595146725</v>
      </c>
      <c r="E37" s="17">
        <v>597.25086989097576</v>
      </c>
      <c r="F37" s="17">
        <v>-1636.7798106836785</v>
      </c>
      <c r="U37" s="2" t="s">
        <v>49</v>
      </c>
    </row>
    <row r="38" spans="1:22" x14ac:dyDescent="0.35">
      <c r="B38" s="5">
        <f>B37+2.5</f>
        <v>72.5</v>
      </c>
      <c r="C38" s="17">
        <v>-2315.2918400893268</v>
      </c>
      <c r="D38" s="17">
        <v>331.2611595146725</v>
      </c>
      <c r="E38" s="17">
        <v>347.25086989097571</v>
      </c>
      <c r="F38" s="17">
        <v>-1636.7798106836785</v>
      </c>
    </row>
    <row r="39" spans="1:22" x14ac:dyDescent="0.35">
      <c r="B39" s="5">
        <f t="shared" ref="B39:B71" si="15">B38+2.5</f>
        <v>75</v>
      </c>
      <c r="C39" s="17">
        <v>-2065.2918400893268</v>
      </c>
      <c r="D39" s="17">
        <v>331.2611595146725</v>
      </c>
      <c r="E39" s="17">
        <v>97.250869890975707</v>
      </c>
      <c r="F39" s="17">
        <v>-1636.7798106836785</v>
      </c>
      <c r="U39" s="2" t="s">
        <v>57</v>
      </c>
    </row>
    <row r="40" spans="1:22" x14ac:dyDescent="0.35">
      <c r="B40" s="5">
        <f t="shared" si="15"/>
        <v>77.5</v>
      </c>
      <c r="C40" s="17">
        <v>-1815.2918400893268</v>
      </c>
      <c r="D40" s="17">
        <v>331.2611595146725</v>
      </c>
      <c r="E40" s="17">
        <v>-152.74913010902429</v>
      </c>
      <c r="F40" s="17">
        <v>-1636.7798106836785</v>
      </c>
      <c r="U40" s="2" t="s">
        <v>58</v>
      </c>
    </row>
    <row r="41" spans="1:22" x14ac:dyDescent="0.35">
      <c r="B41" s="5">
        <f t="shared" si="15"/>
        <v>80</v>
      </c>
      <c r="C41" s="17">
        <v>-1565.2918400893268</v>
      </c>
      <c r="D41" s="17">
        <v>331.2611595146725</v>
      </c>
      <c r="E41" s="17">
        <v>-402.74913010902429</v>
      </c>
      <c r="F41" s="17">
        <v>-1636.7798106836785</v>
      </c>
    </row>
    <row r="42" spans="1:22" x14ac:dyDescent="0.35">
      <c r="B42" s="5">
        <f t="shared" si="15"/>
        <v>82.5</v>
      </c>
      <c r="C42" s="17">
        <v>-1315.2918400893268</v>
      </c>
      <c r="D42" s="17">
        <v>331.2611595146725</v>
      </c>
      <c r="E42" s="17">
        <v>-402.74913010902429</v>
      </c>
      <c r="F42" s="17">
        <v>-1386.7798106836785</v>
      </c>
      <c r="U42" s="2" t="s">
        <v>54</v>
      </c>
    </row>
    <row r="43" spans="1:22" x14ac:dyDescent="0.35">
      <c r="B43" s="5">
        <f t="shared" si="15"/>
        <v>85</v>
      </c>
      <c r="C43" s="17">
        <v>-1065.2918400893268</v>
      </c>
      <c r="D43" s="17">
        <v>331.2611595146725</v>
      </c>
      <c r="E43" s="17">
        <v>-402.74913010902429</v>
      </c>
      <c r="F43" s="17">
        <v>-1136.7798106836785</v>
      </c>
      <c r="U43" s="2" t="s">
        <v>53</v>
      </c>
    </row>
    <row r="44" spans="1:22" x14ac:dyDescent="0.35">
      <c r="B44" s="5">
        <f t="shared" si="15"/>
        <v>87.5</v>
      </c>
      <c r="C44" s="17">
        <v>-815.2918400893268</v>
      </c>
      <c r="D44" s="17">
        <v>331.2611595146725</v>
      </c>
      <c r="E44" s="17">
        <v>-402.74913010902429</v>
      </c>
      <c r="F44" s="17">
        <v>-886.77981068367853</v>
      </c>
    </row>
    <row r="45" spans="1:22" x14ac:dyDescent="0.35">
      <c r="B45" s="5">
        <f t="shared" si="15"/>
        <v>90</v>
      </c>
      <c r="C45" s="17">
        <v>-565.2918400893268</v>
      </c>
      <c r="D45" s="17">
        <v>331.2611595146725</v>
      </c>
      <c r="E45" s="17">
        <v>-402.74913010902429</v>
      </c>
      <c r="F45" s="17">
        <v>-636.77981068367853</v>
      </c>
      <c r="U45" s="68" t="s">
        <v>75</v>
      </c>
      <c r="V45" s="24"/>
    </row>
    <row r="46" spans="1:22" ht="16.5" x14ac:dyDescent="0.45">
      <c r="B46" s="5">
        <f t="shared" si="15"/>
        <v>92.5</v>
      </c>
      <c r="C46" s="17">
        <v>-315.2918400893268</v>
      </c>
      <c r="D46" s="17">
        <v>331.2611595146725</v>
      </c>
      <c r="E46" s="17">
        <v>-402.74913010902429</v>
      </c>
      <c r="F46" s="17">
        <v>-386.77981068367859</v>
      </c>
      <c r="U46" s="2" t="s">
        <v>76</v>
      </c>
      <c r="V46" s="2" t="s">
        <v>77</v>
      </c>
    </row>
    <row r="47" spans="1:22" x14ac:dyDescent="0.35">
      <c r="B47" s="5">
        <f t="shared" si="15"/>
        <v>95</v>
      </c>
      <c r="C47" s="17">
        <v>-65.291840089326797</v>
      </c>
      <c r="D47" s="17">
        <v>331.2611595146725</v>
      </c>
      <c r="E47" s="17">
        <v>-402.74913010902429</v>
      </c>
      <c r="F47" s="17">
        <v>-136.77981068367859</v>
      </c>
      <c r="U47" s="2" t="s">
        <v>80</v>
      </c>
      <c r="V47" s="25"/>
    </row>
    <row r="48" spans="1:22" x14ac:dyDescent="0.35">
      <c r="B48" s="5">
        <f t="shared" si="15"/>
        <v>97.5</v>
      </c>
      <c r="C48" s="17">
        <v>184.7081599106732</v>
      </c>
      <c r="D48" s="17">
        <v>331.2611595146725</v>
      </c>
      <c r="E48" s="17">
        <v>-402.74913010902429</v>
      </c>
      <c r="F48" s="17">
        <v>113.22018931632141</v>
      </c>
    </row>
    <row r="49" spans="2:22" x14ac:dyDescent="0.35">
      <c r="B49" s="5">
        <f t="shared" si="15"/>
        <v>100</v>
      </c>
      <c r="C49" s="17">
        <v>434.7081599106732</v>
      </c>
      <c r="D49" s="17">
        <v>331.2611595146725</v>
      </c>
      <c r="E49" s="17">
        <v>-402.74913010902429</v>
      </c>
      <c r="F49" s="17">
        <v>363.22018931632141</v>
      </c>
      <c r="U49" s="2" t="s">
        <v>81</v>
      </c>
      <c r="V49" s="2" t="s">
        <v>90</v>
      </c>
    </row>
    <row r="50" spans="2:22" x14ac:dyDescent="0.35">
      <c r="B50" s="5">
        <f t="shared" si="15"/>
        <v>102.5</v>
      </c>
      <c r="C50" s="17">
        <v>684.7081599106732</v>
      </c>
      <c r="D50" s="17">
        <v>331.2611595146725</v>
      </c>
      <c r="E50" s="17">
        <v>-402.74913010902429</v>
      </c>
      <c r="F50" s="17">
        <v>613.22018931632147</v>
      </c>
      <c r="U50" s="2" t="s">
        <v>82</v>
      </c>
    </row>
    <row r="51" spans="2:22" x14ac:dyDescent="0.35">
      <c r="B51" s="5">
        <f t="shared" si="15"/>
        <v>105</v>
      </c>
      <c r="C51" s="17">
        <v>934.7081599106732</v>
      </c>
      <c r="D51" s="17">
        <v>331.2611595146725</v>
      </c>
      <c r="E51" s="17">
        <v>-402.74913010902429</v>
      </c>
      <c r="F51" s="17">
        <v>863.22018931632147</v>
      </c>
    </row>
    <row r="52" spans="2:22" x14ac:dyDescent="0.35">
      <c r="B52" s="5">
        <f t="shared" si="15"/>
        <v>107.5</v>
      </c>
      <c r="C52" s="17">
        <v>1184.7081599106732</v>
      </c>
      <c r="D52" s="17">
        <v>331.2611595146725</v>
      </c>
      <c r="E52" s="17">
        <v>-402.74913010902429</v>
      </c>
      <c r="F52" s="17">
        <v>1113.2201893163215</v>
      </c>
      <c r="U52" s="2" t="s">
        <v>78</v>
      </c>
    </row>
    <row r="53" spans="2:22" x14ac:dyDescent="0.35">
      <c r="B53" s="5">
        <f t="shared" si="15"/>
        <v>110</v>
      </c>
      <c r="C53" s="17">
        <v>1434.7081599106732</v>
      </c>
      <c r="D53" s="17">
        <v>331.2611595146725</v>
      </c>
      <c r="E53" s="17">
        <v>-402.74913010902429</v>
      </c>
      <c r="F53" s="17">
        <v>1363.2201893163215</v>
      </c>
      <c r="U53" s="2" t="s">
        <v>79</v>
      </c>
    </row>
    <row r="54" spans="2:22" x14ac:dyDescent="0.35">
      <c r="B54" s="5">
        <f t="shared" si="15"/>
        <v>112.5</v>
      </c>
      <c r="C54" s="17">
        <v>1684.7081599106732</v>
      </c>
      <c r="D54" s="17">
        <v>331.2611595146725</v>
      </c>
      <c r="E54" s="17">
        <v>-402.74913010902429</v>
      </c>
      <c r="F54" s="17">
        <v>1613.2201893163215</v>
      </c>
    </row>
    <row r="55" spans="2:22" x14ac:dyDescent="0.35">
      <c r="B55" s="5">
        <f t="shared" si="15"/>
        <v>115</v>
      </c>
      <c r="C55" s="17">
        <v>1934.7081599106732</v>
      </c>
      <c r="D55" s="17">
        <v>331.2611595146725</v>
      </c>
      <c r="E55" s="17">
        <v>-402.74913010902429</v>
      </c>
      <c r="F55" s="17">
        <v>1863.2201893163215</v>
      </c>
    </row>
    <row r="56" spans="2:22" x14ac:dyDescent="0.35">
      <c r="B56" s="5">
        <f t="shared" si="15"/>
        <v>117.5</v>
      </c>
      <c r="C56" s="17">
        <v>2184.7081599106732</v>
      </c>
      <c r="D56" s="17">
        <v>331.2611595146725</v>
      </c>
      <c r="E56" s="17">
        <v>-402.74913010902429</v>
      </c>
      <c r="F56" s="17">
        <v>2113.2201893163215</v>
      </c>
      <c r="U56" s="69" t="s">
        <v>60</v>
      </c>
      <c r="V56" s="11"/>
    </row>
    <row r="57" spans="2:22" x14ac:dyDescent="0.35">
      <c r="B57" s="5">
        <f t="shared" si="15"/>
        <v>120</v>
      </c>
      <c r="C57" s="17">
        <v>2434.7081599106732</v>
      </c>
      <c r="D57" s="17">
        <v>331.2611595146725</v>
      </c>
      <c r="E57" s="17">
        <v>-402.74913010902429</v>
      </c>
      <c r="F57" s="17">
        <v>2363.2201893163215</v>
      </c>
      <c r="U57" s="70" t="s">
        <v>83</v>
      </c>
      <c r="V57" s="22"/>
    </row>
    <row r="58" spans="2:22" x14ac:dyDescent="0.35">
      <c r="B58" s="5">
        <f t="shared" si="15"/>
        <v>122.5</v>
      </c>
      <c r="C58" s="17">
        <v>2684.7081599106732</v>
      </c>
      <c r="D58" s="17">
        <v>81.261159514672499</v>
      </c>
      <c r="E58" s="17">
        <v>-402.74913010902429</v>
      </c>
      <c r="F58" s="17">
        <v>2363.2201893163215</v>
      </c>
      <c r="U58" s="2" t="s">
        <v>61</v>
      </c>
    </row>
    <row r="59" spans="2:22" x14ac:dyDescent="0.35">
      <c r="B59" s="5">
        <f t="shared" si="15"/>
        <v>125</v>
      </c>
      <c r="C59" s="17">
        <v>2934.7081599106732</v>
      </c>
      <c r="D59" s="17">
        <v>-168.7388404853275</v>
      </c>
      <c r="E59" s="17">
        <v>-402.74913010902429</v>
      </c>
      <c r="F59" s="17">
        <v>2363.2201893163215</v>
      </c>
      <c r="U59" s="2" t="s">
        <v>62</v>
      </c>
    </row>
    <row r="60" spans="2:22" x14ac:dyDescent="0.35">
      <c r="B60" s="5">
        <f t="shared" si="15"/>
        <v>127.5</v>
      </c>
      <c r="C60" s="17">
        <v>3184.7081599106732</v>
      </c>
      <c r="D60" s="17">
        <v>-418.7388404853275</v>
      </c>
      <c r="E60" s="17">
        <v>-402.74913010902429</v>
      </c>
      <c r="F60" s="17">
        <v>2363.2201893163215</v>
      </c>
    </row>
    <row r="61" spans="2:22" x14ac:dyDescent="0.35">
      <c r="B61" s="5">
        <f t="shared" si="15"/>
        <v>130</v>
      </c>
      <c r="C61" s="17">
        <v>3434.7081599106732</v>
      </c>
      <c r="D61" s="17">
        <v>-668.7388404853275</v>
      </c>
      <c r="E61" s="17">
        <v>-402.74913010902429</v>
      </c>
      <c r="F61" s="17">
        <v>2363.2201893163215</v>
      </c>
      <c r="U61" s="2" t="s">
        <v>63</v>
      </c>
    </row>
    <row r="62" spans="2:22" x14ac:dyDescent="0.35">
      <c r="B62" s="5">
        <f t="shared" si="15"/>
        <v>132.5</v>
      </c>
      <c r="C62" s="17">
        <v>3684.7081599106732</v>
      </c>
      <c r="D62" s="17">
        <v>-918.7388404853275</v>
      </c>
      <c r="E62" s="17">
        <v>-402.74913010902429</v>
      </c>
      <c r="F62" s="17">
        <v>2363.2201893163215</v>
      </c>
      <c r="U62" s="2" t="s">
        <v>64</v>
      </c>
    </row>
    <row r="63" spans="2:22" x14ac:dyDescent="0.35">
      <c r="B63" s="5">
        <f t="shared" si="15"/>
        <v>135</v>
      </c>
      <c r="C63" s="17">
        <v>3934.7081599106732</v>
      </c>
      <c r="D63" s="17">
        <v>-1168.7388404853275</v>
      </c>
      <c r="E63" s="17">
        <v>-402.74913010902429</v>
      </c>
      <c r="F63" s="17">
        <v>2363.2201893163215</v>
      </c>
    </row>
    <row r="64" spans="2:22" x14ac:dyDescent="0.35">
      <c r="B64" s="5">
        <f t="shared" si="15"/>
        <v>137.5</v>
      </c>
      <c r="C64" s="17">
        <v>4184.7081599106732</v>
      </c>
      <c r="D64" s="17">
        <v>-1418.7388404853275</v>
      </c>
      <c r="E64" s="17">
        <v>-402.74913010902429</v>
      </c>
      <c r="F64" s="17">
        <v>2363.2201893163215</v>
      </c>
      <c r="U64" s="2" t="s">
        <v>71</v>
      </c>
    </row>
    <row r="65" spans="2:22" x14ac:dyDescent="0.35">
      <c r="B65" s="5">
        <f t="shared" si="15"/>
        <v>140</v>
      </c>
      <c r="C65" s="17">
        <v>4434.7081599106732</v>
      </c>
      <c r="D65" s="17">
        <v>-1668.7388404853275</v>
      </c>
      <c r="E65" s="17">
        <v>-402.74913010902429</v>
      </c>
      <c r="F65" s="17">
        <v>2363.2201893163215</v>
      </c>
      <c r="U65" s="2" t="s">
        <v>70</v>
      </c>
    </row>
    <row r="66" spans="2:22" x14ac:dyDescent="0.35">
      <c r="B66" s="5">
        <f t="shared" si="15"/>
        <v>142.5</v>
      </c>
      <c r="C66" s="17">
        <v>4684.7081599106732</v>
      </c>
      <c r="D66" s="17">
        <v>-1918.7388404853275</v>
      </c>
      <c r="E66" s="17">
        <v>-402.74913010902429</v>
      </c>
      <c r="F66" s="17">
        <v>2363.2201893163215</v>
      </c>
    </row>
    <row r="67" spans="2:22" x14ac:dyDescent="0.35">
      <c r="B67" s="5">
        <f t="shared" si="15"/>
        <v>145</v>
      </c>
      <c r="C67" s="17">
        <v>4934.7081599106732</v>
      </c>
      <c r="D67" s="17">
        <v>-2168.7388404853273</v>
      </c>
      <c r="E67" s="17">
        <v>-402.74913010902429</v>
      </c>
      <c r="F67" s="17">
        <v>2363.2201893163215</v>
      </c>
      <c r="U67" s="65" t="s">
        <v>138</v>
      </c>
    </row>
    <row r="68" spans="2:22" x14ac:dyDescent="0.35">
      <c r="B68" s="5">
        <f t="shared" si="15"/>
        <v>147.5</v>
      </c>
      <c r="C68" s="17">
        <v>5184.7081599106732</v>
      </c>
      <c r="D68" s="17">
        <v>-2418.7388404853273</v>
      </c>
      <c r="E68" s="17">
        <v>-402.74913010902429</v>
      </c>
      <c r="F68" s="17">
        <v>2363.2201893163215</v>
      </c>
      <c r="U68" s="65" t="s">
        <v>139</v>
      </c>
    </row>
    <row r="69" spans="2:22" x14ac:dyDescent="0.35">
      <c r="B69" s="5">
        <f t="shared" si="15"/>
        <v>150</v>
      </c>
      <c r="C69" s="17">
        <v>5434.7081599106732</v>
      </c>
      <c r="D69" s="17">
        <v>-2668.7388404853273</v>
      </c>
      <c r="E69" s="17">
        <v>-402.74913010902429</v>
      </c>
      <c r="F69" s="17">
        <v>2363.2201893163215</v>
      </c>
    </row>
    <row r="70" spans="2:22" x14ac:dyDescent="0.35">
      <c r="B70" s="5">
        <f t="shared" si="15"/>
        <v>152.5</v>
      </c>
      <c r="C70" s="17">
        <v>5684.7081599106732</v>
      </c>
      <c r="D70" s="17">
        <v>-2918.7388404853273</v>
      </c>
      <c r="E70" s="17">
        <v>-402.74913010902429</v>
      </c>
      <c r="F70" s="17">
        <v>2363.2201893163215</v>
      </c>
      <c r="U70" s="2" t="s">
        <v>74</v>
      </c>
    </row>
    <row r="71" spans="2:22" x14ac:dyDescent="0.35">
      <c r="B71" s="5">
        <f t="shared" si="15"/>
        <v>155</v>
      </c>
      <c r="C71" s="17">
        <v>5934.7081599106732</v>
      </c>
      <c r="D71" s="17">
        <v>-3168.7388404853273</v>
      </c>
      <c r="E71" s="17">
        <v>-402.74913010902429</v>
      </c>
      <c r="F71" s="17">
        <v>2363.2201893163215</v>
      </c>
      <c r="U71" s="2" t="s">
        <v>84</v>
      </c>
    </row>
    <row r="72" spans="2:22" x14ac:dyDescent="0.35">
      <c r="E72"/>
    </row>
    <row r="73" spans="2:22" x14ac:dyDescent="0.35">
      <c r="E73"/>
      <c r="U73" s="71" t="s">
        <v>65</v>
      </c>
      <c r="V73" s="23"/>
    </row>
    <row r="74" spans="2:22" x14ac:dyDescent="0.35">
      <c r="E74"/>
      <c r="U74" s="2" t="s">
        <v>66</v>
      </c>
    </row>
    <row r="75" spans="2:22" x14ac:dyDescent="0.35">
      <c r="E75"/>
      <c r="U75" s="2" t="s">
        <v>67</v>
      </c>
    </row>
    <row r="76" spans="2:22" x14ac:dyDescent="0.35">
      <c r="E76"/>
    </row>
    <row r="77" spans="2:22" x14ac:dyDescent="0.35">
      <c r="E77"/>
      <c r="U77" s="2" t="s">
        <v>68</v>
      </c>
    </row>
    <row r="78" spans="2:22" x14ac:dyDescent="0.35">
      <c r="E78"/>
      <c r="U78" s="2" t="s">
        <v>69</v>
      </c>
    </row>
    <row r="79" spans="2:22" x14ac:dyDescent="0.35">
      <c r="E79"/>
    </row>
    <row r="80" spans="2:22" x14ac:dyDescent="0.35">
      <c r="E80"/>
      <c r="U80" s="2" t="s">
        <v>72</v>
      </c>
    </row>
    <row r="81" spans="2:21" x14ac:dyDescent="0.35">
      <c r="E81"/>
      <c r="U81" s="2" t="s">
        <v>73</v>
      </c>
    </row>
    <row r="82" spans="2:21" x14ac:dyDescent="0.35">
      <c r="E82"/>
    </row>
    <row r="83" spans="2:21" x14ac:dyDescent="0.35">
      <c r="E83"/>
    </row>
    <row r="84" spans="2:21" x14ac:dyDescent="0.35">
      <c r="B84" s="2" t="s">
        <v>24</v>
      </c>
      <c r="E84"/>
      <c r="U84" s="65" t="s">
        <v>137</v>
      </c>
    </row>
    <row r="85" spans="2:21" x14ac:dyDescent="0.35">
      <c r="B85" s="2" t="s">
        <v>25</v>
      </c>
      <c r="E85"/>
      <c r="U85" s="65" t="s">
        <v>140</v>
      </c>
    </row>
    <row r="86" spans="2:21" x14ac:dyDescent="0.35">
      <c r="E86"/>
    </row>
    <row r="87" spans="2:21" x14ac:dyDescent="0.35">
      <c r="E87"/>
      <c r="U87" s="2" t="s">
        <v>74</v>
      </c>
    </row>
    <row r="88" spans="2:21" x14ac:dyDescent="0.35">
      <c r="E88"/>
      <c r="U88" s="2" t="s">
        <v>85</v>
      </c>
    </row>
    <row r="89" spans="2:21" x14ac:dyDescent="0.35">
      <c r="D89"/>
      <c r="E89"/>
      <c r="F89"/>
      <c r="G89"/>
      <c r="H89"/>
      <c r="I89"/>
      <c r="J89"/>
      <c r="K89"/>
      <c r="L89"/>
      <c r="M89"/>
      <c r="N89"/>
      <c r="O89"/>
      <c r="P89"/>
    </row>
    <row r="90" spans="2:21" x14ac:dyDescent="0.35">
      <c r="D90"/>
      <c r="E90"/>
      <c r="F90"/>
      <c r="G90"/>
      <c r="H90"/>
      <c r="I90"/>
      <c r="J90"/>
      <c r="K90"/>
      <c r="L90"/>
      <c r="M90"/>
      <c r="N90"/>
      <c r="O90"/>
      <c r="P90"/>
    </row>
    <row r="91" spans="2:21" x14ac:dyDescent="0.35">
      <c r="D91"/>
      <c r="E91"/>
      <c r="F91"/>
      <c r="G91"/>
      <c r="H91"/>
      <c r="I91"/>
      <c r="J91"/>
      <c r="K91"/>
      <c r="L91"/>
      <c r="M91"/>
      <c r="N91"/>
      <c r="O91"/>
      <c r="P91"/>
    </row>
    <row r="92" spans="2:21" x14ac:dyDescent="0.35">
      <c r="D92"/>
      <c r="E92"/>
      <c r="F92"/>
      <c r="G92"/>
      <c r="H92"/>
      <c r="I92"/>
      <c r="J92"/>
      <c r="K92"/>
      <c r="L92"/>
      <c r="M92"/>
      <c r="N92"/>
      <c r="O92"/>
      <c r="P92"/>
    </row>
    <row r="93" spans="2:21" x14ac:dyDescent="0.35">
      <c r="D93"/>
      <c r="E93"/>
      <c r="F93"/>
      <c r="G93"/>
      <c r="H93"/>
      <c r="I93"/>
      <c r="J93"/>
      <c r="K93"/>
      <c r="L93"/>
      <c r="M93"/>
      <c r="N93"/>
      <c r="O93"/>
      <c r="P93"/>
    </row>
    <row r="94" spans="2:21" x14ac:dyDescent="0.35">
      <c r="D94"/>
      <c r="E94"/>
      <c r="F94"/>
      <c r="G94"/>
      <c r="H94"/>
      <c r="I94"/>
      <c r="J94"/>
      <c r="K94"/>
      <c r="L94"/>
      <c r="M94"/>
      <c r="N94"/>
      <c r="O94"/>
      <c r="P94"/>
    </row>
    <row r="95" spans="2:21" x14ac:dyDescent="0.35">
      <c r="D95"/>
      <c r="E95"/>
      <c r="F95"/>
      <c r="G95"/>
      <c r="H95"/>
      <c r="I95"/>
      <c r="J95"/>
      <c r="K95"/>
      <c r="L95"/>
      <c r="M95"/>
      <c r="N95"/>
      <c r="O95"/>
      <c r="P95"/>
    </row>
    <row r="96" spans="2:21" x14ac:dyDescent="0.35">
      <c r="D96"/>
      <c r="E96"/>
      <c r="F96"/>
      <c r="G96"/>
      <c r="H96"/>
      <c r="I96"/>
      <c r="J96"/>
      <c r="K96"/>
      <c r="L96"/>
      <c r="M96"/>
      <c r="N96"/>
      <c r="O96"/>
      <c r="P96"/>
    </row>
    <row r="97" spans="4:16" x14ac:dyDescent="0.35">
      <c r="D97"/>
      <c r="E97"/>
      <c r="F97"/>
      <c r="G97"/>
      <c r="H97"/>
      <c r="I97"/>
      <c r="J97"/>
      <c r="K97"/>
      <c r="L97"/>
      <c r="M97"/>
      <c r="N97"/>
      <c r="O97"/>
      <c r="P97"/>
    </row>
    <row r="98" spans="4:16" x14ac:dyDescent="0.35">
      <c r="D98"/>
      <c r="E98"/>
      <c r="F98"/>
      <c r="G98"/>
      <c r="H98"/>
      <c r="I98"/>
      <c r="J98"/>
      <c r="K98"/>
      <c r="L98"/>
      <c r="M98"/>
      <c r="N98"/>
      <c r="O98"/>
      <c r="P98"/>
    </row>
    <row r="99" spans="4:16" x14ac:dyDescent="0.35">
      <c r="D99"/>
      <c r="E99"/>
      <c r="F99"/>
      <c r="G99"/>
      <c r="H99"/>
      <c r="I99"/>
      <c r="J99"/>
      <c r="K99"/>
      <c r="L99"/>
      <c r="M99"/>
      <c r="N99"/>
      <c r="O99"/>
      <c r="P99"/>
    </row>
    <row r="100" spans="4:16" x14ac:dyDescent="0.35">
      <c r="D100"/>
      <c r="E100"/>
      <c r="F100"/>
      <c r="G100"/>
      <c r="H100"/>
      <c r="I100"/>
      <c r="J100"/>
      <c r="K100"/>
      <c r="L100"/>
      <c r="M100"/>
      <c r="N100"/>
      <c r="O100"/>
      <c r="P100"/>
    </row>
    <row r="101" spans="4:16" x14ac:dyDescent="0.35">
      <c r="D101"/>
      <c r="E101"/>
      <c r="F101"/>
      <c r="G101"/>
      <c r="H101"/>
      <c r="I101"/>
      <c r="J101"/>
      <c r="K101"/>
      <c r="L101"/>
      <c r="M101"/>
      <c r="N101"/>
      <c r="O101"/>
      <c r="P101"/>
    </row>
    <row r="102" spans="4:16" x14ac:dyDescent="0.35">
      <c r="D102"/>
      <c r="E102"/>
      <c r="F102"/>
      <c r="G102"/>
      <c r="H102"/>
      <c r="I102"/>
      <c r="J102"/>
      <c r="K102"/>
      <c r="L102"/>
      <c r="M102"/>
      <c r="N102"/>
      <c r="O102"/>
      <c r="P102"/>
    </row>
    <row r="103" spans="4:16" x14ac:dyDescent="0.35">
      <c r="D103"/>
      <c r="E103"/>
      <c r="F103"/>
      <c r="G103"/>
      <c r="H103"/>
      <c r="I103"/>
      <c r="J103"/>
      <c r="K103"/>
      <c r="L103"/>
      <c r="M103"/>
      <c r="N103"/>
      <c r="O103"/>
      <c r="P103"/>
    </row>
    <row r="104" spans="4:16" x14ac:dyDescent="0.35">
      <c r="D104"/>
      <c r="E104"/>
      <c r="F104"/>
      <c r="G104"/>
      <c r="H104"/>
      <c r="I104"/>
      <c r="J104"/>
      <c r="K104"/>
      <c r="L104"/>
      <c r="M104"/>
      <c r="N104"/>
      <c r="O104"/>
      <c r="P104"/>
    </row>
    <row r="105" spans="4:16" x14ac:dyDescent="0.35">
      <c r="D105"/>
      <c r="E105"/>
      <c r="F105"/>
      <c r="G105"/>
      <c r="H105"/>
      <c r="I105"/>
      <c r="J105"/>
      <c r="K105"/>
      <c r="L105"/>
      <c r="M105"/>
      <c r="N105"/>
      <c r="O105"/>
      <c r="P105"/>
    </row>
    <row r="106" spans="4:16" x14ac:dyDescent="0.35">
      <c r="D106"/>
      <c r="E106"/>
      <c r="F106"/>
      <c r="G106"/>
      <c r="H106"/>
      <c r="I106"/>
      <c r="J106"/>
      <c r="K106"/>
      <c r="L106"/>
      <c r="M106"/>
      <c r="N106"/>
      <c r="O106"/>
      <c r="P106"/>
    </row>
    <row r="107" spans="4:16" x14ac:dyDescent="0.35">
      <c r="D107"/>
      <c r="E107"/>
      <c r="F107"/>
      <c r="G107"/>
      <c r="H107"/>
      <c r="I107"/>
      <c r="J107"/>
      <c r="K107"/>
      <c r="L107"/>
      <c r="M107"/>
      <c r="N107"/>
      <c r="O107"/>
      <c r="P107"/>
    </row>
    <row r="108" spans="4:16" x14ac:dyDescent="0.35">
      <c r="D108"/>
      <c r="E108"/>
      <c r="F108"/>
      <c r="G108"/>
      <c r="H108"/>
      <c r="I108"/>
      <c r="J108"/>
      <c r="K108"/>
      <c r="L108"/>
      <c r="M108"/>
      <c r="N108"/>
      <c r="O108"/>
      <c r="P108"/>
    </row>
    <row r="109" spans="4:16" x14ac:dyDescent="0.35">
      <c r="D109"/>
      <c r="E109"/>
      <c r="F109"/>
      <c r="G109"/>
      <c r="H109"/>
      <c r="I109"/>
      <c r="J109"/>
      <c r="K109"/>
      <c r="L109"/>
      <c r="M109"/>
      <c r="N109"/>
      <c r="O109"/>
      <c r="P109"/>
    </row>
    <row r="110" spans="4:16" x14ac:dyDescent="0.35">
      <c r="D110"/>
      <c r="E110"/>
      <c r="F110"/>
      <c r="G110"/>
      <c r="H110"/>
      <c r="I110"/>
      <c r="J110"/>
      <c r="K110"/>
      <c r="L110"/>
      <c r="M110"/>
      <c r="N110"/>
      <c r="O110"/>
      <c r="P110"/>
    </row>
    <row r="111" spans="4:16" x14ac:dyDescent="0.35">
      <c r="D111"/>
      <c r="E111"/>
      <c r="F111"/>
      <c r="G111"/>
      <c r="H111"/>
      <c r="I111"/>
      <c r="J111"/>
      <c r="K111"/>
      <c r="L111"/>
      <c r="M111"/>
      <c r="N111"/>
      <c r="O111"/>
      <c r="P111"/>
    </row>
    <row r="112" spans="4:16" x14ac:dyDescent="0.35">
      <c r="D112"/>
      <c r="E112"/>
      <c r="F112"/>
      <c r="G112"/>
      <c r="H112"/>
      <c r="I112"/>
      <c r="J112"/>
      <c r="K112"/>
      <c r="L112"/>
      <c r="M112"/>
      <c r="N112"/>
      <c r="O112"/>
      <c r="P112"/>
    </row>
    <row r="113" spans="4:16" x14ac:dyDescent="0.35">
      <c r="D113"/>
      <c r="E113"/>
      <c r="F113"/>
      <c r="G113"/>
      <c r="H113"/>
      <c r="I113"/>
      <c r="J113"/>
      <c r="K113"/>
      <c r="L113"/>
      <c r="M113"/>
      <c r="N113"/>
      <c r="O113"/>
      <c r="P113"/>
    </row>
    <row r="114" spans="4:16" x14ac:dyDescent="0.35">
      <c r="D114"/>
      <c r="E114"/>
      <c r="F114"/>
      <c r="G114"/>
      <c r="H114"/>
      <c r="I114"/>
      <c r="J114"/>
      <c r="K114"/>
      <c r="L114"/>
      <c r="M114"/>
      <c r="N114"/>
      <c r="O114"/>
      <c r="P114"/>
    </row>
    <row r="115" spans="4:16" x14ac:dyDescent="0.35">
      <c r="D115"/>
      <c r="E115"/>
      <c r="F115"/>
      <c r="G115"/>
      <c r="H115"/>
      <c r="I115"/>
      <c r="J115"/>
      <c r="K115"/>
      <c r="L115"/>
      <c r="M115"/>
      <c r="N115"/>
      <c r="O115"/>
      <c r="P115"/>
    </row>
    <row r="116" spans="4:16" x14ac:dyDescent="0.35">
      <c r="D116"/>
      <c r="E116"/>
      <c r="F116"/>
      <c r="G116"/>
      <c r="H116"/>
      <c r="I116"/>
      <c r="J116"/>
      <c r="K116"/>
      <c r="L116"/>
      <c r="M116"/>
      <c r="N116"/>
      <c r="O116"/>
      <c r="P116"/>
    </row>
    <row r="117" spans="4:16" x14ac:dyDescent="0.35">
      <c r="D117"/>
      <c r="E117"/>
      <c r="F117"/>
      <c r="G117"/>
      <c r="H117"/>
      <c r="I117"/>
      <c r="J117"/>
      <c r="K117"/>
      <c r="L117"/>
      <c r="M117"/>
      <c r="N117"/>
      <c r="O117"/>
      <c r="P117"/>
    </row>
    <row r="118" spans="4:16" x14ac:dyDescent="0.35">
      <c r="D118"/>
      <c r="E118"/>
      <c r="F118"/>
      <c r="G118"/>
      <c r="H118"/>
      <c r="I118"/>
      <c r="J118"/>
      <c r="K118"/>
      <c r="L118"/>
      <c r="M118"/>
      <c r="N118"/>
      <c r="O118"/>
      <c r="P118"/>
    </row>
    <row r="119" spans="4:16" x14ac:dyDescent="0.35">
      <c r="D119"/>
      <c r="E119"/>
      <c r="F119"/>
      <c r="G119"/>
      <c r="H119"/>
      <c r="I119"/>
      <c r="J119"/>
      <c r="K119"/>
      <c r="L119"/>
      <c r="M119"/>
      <c r="N119"/>
      <c r="O119"/>
      <c r="P119"/>
    </row>
    <row r="120" spans="4:16" x14ac:dyDescent="0.35">
      <c r="D120"/>
      <c r="E120"/>
      <c r="F120"/>
      <c r="G120"/>
      <c r="H120"/>
      <c r="I120"/>
      <c r="J120"/>
      <c r="K120"/>
      <c r="L120"/>
      <c r="M120"/>
      <c r="N120"/>
      <c r="O120"/>
      <c r="P120"/>
    </row>
    <row r="121" spans="4:16" x14ac:dyDescent="0.35">
      <c r="D121"/>
      <c r="E121"/>
      <c r="F121"/>
      <c r="G121"/>
      <c r="H121"/>
      <c r="I121"/>
      <c r="J121"/>
      <c r="K121"/>
      <c r="L121"/>
      <c r="M121"/>
      <c r="N121"/>
      <c r="O121"/>
      <c r="P121"/>
    </row>
    <row r="122" spans="4:16" x14ac:dyDescent="0.35">
      <c r="D122"/>
      <c r="E122"/>
      <c r="F122"/>
      <c r="G122"/>
      <c r="H122"/>
      <c r="I122"/>
      <c r="J122"/>
      <c r="K122"/>
      <c r="L122"/>
      <c r="M122"/>
      <c r="N122"/>
      <c r="O122"/>
      <c r="P122"/>
    </row>
    <row r="123" spans="4:16" x14ac:dyDescent="0.35">
      <c r="D123"/>
      <c r="E123"/>
      <c r="F123"/>
      <c r="G123"/>
      <c r="H123"/>
      <c r="I123"/>
      <c r="J123"/>
      <c r="K123"/>
      <c r="L123"/>
      <c r="M123"/>
      <c r="N123"/>
      <c r="O123"/>
      <c r="P123"/>
    </row>
    <row r="124" spans="4:16" x14ac:dyDescent="0.35">
      <c r="D124"/>
      <c r="E124"/>
      <c r="F124"/>
      <c r="G124"/>
      <c r="H124"/>
      <c r="I124"/>
      <c r="J124"/>
      <c r="K124"/>
      <c r="L124"/>
      <c r="M124"/>
      <c r="N124"/>
      <c r="O124"/>
      <c r="P124"/>
    </row>
    <row r="125" spans="4:16" x14ac:dyDescent="0.35">
      <c r="D125"/>
      <c r="E125"/>
      <c r="F125"/>
      <c r="G125"/>
      <c r="H125"/>
      <c r="I125"/>
      <c r="J125"/>
      <c r="K125"/>
      <c r="L125"/>
      <c r="M125"/>
      <c r="N125"/>
      <c r="O125"/>
      <c r="P125"/>
    </row>
    <row r="126" spans="4:16" x14ac:dyDescent="0.35">
      <c r="D126"/>
      <c r="E126"/>
      <c r="F126"/>
      <c r="G126"/>
      <c r="H126"/>
      <c r="I126"/>
      <c r="J126"/>
      <c r="K126"/>
      <c r="L126"/>
      <c r="M126"/>
      <c r="N126"/>
      <c r="O126"/>
      <c r="P126"/>
    </row>
    <row r="127" spans="4:16" x14ac:dyDescent="0.35">
      <c r="D127"/>
      <c r="E127"/>
      <c r="F127"/>
      <c r="G127"/>
      <c r="H127"/>
      <c r="I127"/>
      <c r="J127"/>
      <c r="K127"/>
      <c r="L127"/>
      <c r="M127"/>
      <c r="N127"/>
      <c r="O127"/>
      <c r="P127"/>
    </row>
    <row r="128" spans="4:16" x14ac:dyDescent="0.35">
      <c r="D128"/>
      <c r="E128"/>
      <c r="F128"/>
      <c r="G128"/>
      <c r="H128"/>
      <c r="I128"/>
      <c r="J128"/>
      <c r="K128"/>
      <c r="L128"/>
      <c r="M128"/>
      <c r="N128"/>
      <c r="O128"/>
      <c r="P128"/>
    </row>
    <row r="129" spans="4:16" x14ac:dyDescent="0.35">
      <c r="D129"/>
      <c r="E129"/>
      <c r="F129"/>
      <c r="G129"/>
      <c r="H129"/>
      <c r="I129"/>
      <c r="J129"/>
      <c r="K129"/>
      <c r="L129"/>
      <c r="M129"/>
      <c r="N129"/>
      <c r="O129"/>
      <c r="P129"/>
    </row>
    <row r="130" spans="4:16" x14ac:dyDescent="0.35">
      <c r="D130"/>
      <c r="E130"/>
      <c r="F130"/>
      <c r="G130"/>
      <c r="H130"/>
      <c r="I130"/>
      <c r="J130"/>
      <c r="K130"/>
      <c r="L130"/>
      <c r="M130"/>
      <c r="N130"/>
      <c r="O130"/>
      <c r="P130"/>
    </row>
    <row r="131" spans="4:16" x14ac:dyDescent="0.35">
      <c r="D131"/>
      <c r="E131"/>
      <c r="F131"/>
      <c r="G131"/>
      <c r="H131"/>
      <c r="I131"/>
      <c r="J131"/>
      <c r="K131"/>
      <c r="L131"/>
      <c r="M131"/>
      <c r="N131"/>
      <c r="O131"/>
      <c r="P131"/>
    </row>
    <row r="132" spans="4:16" x14ac:dyDescent="0.35">
      <c r="D132"/>
      <c r="E132"/>
      <c r="F132"/>
      <c r="G132"/>
      <c r="H132"/>
      <c r="I132"/>
      <c r="J132"/>
      <c r="K132"/>
      <c r="L132"/>
      <c r="M132"/>
      <c r="N132"/>
      <c r="O132"/>
      <c r="P132"/>
    </row>
    <row r="133" spans="4:16" x14ac:dyDescent="0.35">
      <c r="D133"/>
      <c r="E133"/>
      <c r="F133"/>
      <c r="G133"/>
      <c r="H133"/>
      <c r="I133"/>
      <c r="J133"/>
      <c r="K133"/>
      <c r="L133"/>
      <c r="M133"/>
      <c r="N133"/>
      <c r="O133"/>
      <c r="P133"/>
    </row>
    <row r="134" spans="4:16" x14ac:dyDescent="0.35">
      <c r="D134"/>
      <c r="E134"/>
      <c r="F134"/>
      <c r="G134"/>
      <c r="H134"/>
      <c r="I134"/>
      <c r="J134"/>
      <c r="K134"/>
      <c r="L134"/>
      <c r="M134"/>
      <c r="N134"/>
      <c r="O134"/>
      <c r="P134"/>
    </row>
    <row r="135" spans="4:16" x14ac:dyDescent="0.35">
      <c r="D135"/>
      <c r="E135"/>
      <c r="F135"/>
      <c r="G135"/>
      <c r="H135"/>
      <c r="I135"/>
      <c r="J135"/>
      <c r="K135"/>
      <c r="L135"/>
      <c r="M135"/>
      <c r="N135"/>
      <c r="O135"/>
      <c r="P135"/>
    </row>
    <row r="136" spans="4:16" x14ac:dyDescent="0.35">
      <c r="D136"/>
      <c r="E136"/>
      <c r="F136"/>
      <c r="G136"/>
      <c r="H136"/>
      <c r="I136"/>
      <c r="J136"/>
      <c r="K136"/>
      <c r="L136"/>
      <c r="M136"/>
      <c r="N136"/>
      <c r="O136"/>
      <c r="P136"/>
    </row>
    <row r="137" spans="4:16" x14ac:dyDescent="0.35">
      <c r="D137"/>
      <c r="E137"/>
      <c r="F137"/>
      <c r="G137"/>
      <c r="H137"/>
      <c r="I137"/>
      <c r="J137"/>
      <c r="K137"/>
      <c r="L137"/>
      <c r="M137"/>
      <c r="N137"/>
      <c r="O137"/>
      <c r="P137"/>
    </row>
    <row r="138" spans="4:16" x14ac:dyDescent="0.35">
      <c r="D138"/>
      <c r="E138"/>
      <c r="F138"/>
      <c r="G138"/>
      <c r="H138"/>
      <c r="I138"/>
      <c r="J138"/>
      <c r="K138"/>
      <c r="L138"/>
      <c r="M138"/>
      <c r="N138"/>
      <c r="O138"/>
      <c r="P138"/>
    </row>
  </sheetData>
  <mergeCells count="4">
    <mergeCell ref="B12:D12"/>
    <mergeCell ref="F8:Q8"/>
    <mergeCell ref="F19:Q19"/>
    <mergeCell ref="F29:I29"/>
  </mergeCells>
  <dataValidations count="1">
    <dataValidation type="list" allowBlank="1" showInputMessage="1" showErrorMessage="1" sqref="G22:Q22 F31 G11:Q11" xr:uid="{80F4F3FE-59B0-47AA-BD72-89B57CD4C919}">
      <formula1>$X$4:$X$5</formula1>
    </dataValidation>
  </dataValidations>
  <printOptions horizontalCentered="1"/>
  <pageMargins left="0.7" right="0.7" top="0.75" bottom="0.75" header="0.3" footer="0.3"/>
  <pageSetup orientation="portrait" horizontalDpi="4294967295" verticalDpi="4294967295"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Option Payoffs</vt:lpstr>
      <vt:lpstr> Strategies</vt:lpstr>
      <vt:lpstr>riskfree</vt:lpstr>
      <vt:lpstr>stockatT</vt:lpstr>
      <vt:lpstr>stocktime0</vt:lpstr>
      <vt:lpstr>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Cara Spicer</dc:creator>
  <cp:lastModifiedBy>David Corcoran</cp:lastModifiedBy>
  <cp:lastPrinted>2020-03-08T12:25:45Z</cp:lastPrinted>
  <dcterms:created xsi:type="dcterms:W3CDTF">2020-03-07T14:11:52Z</dcterms:created>
  <dcterms:modified xsi:type="dcterms:W3CDTF">2022-08-03T22:06:00Z</dcterms:modified>
</cp:coreProperties>
</file>